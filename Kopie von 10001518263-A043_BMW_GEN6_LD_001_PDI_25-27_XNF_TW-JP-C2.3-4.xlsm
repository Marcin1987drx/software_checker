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aexlmaier-my.sharepoint.com/personal/simon_wagmann_draexlmaier_com/Documents/Desktop/"/>
    </mc:Choice>
  </mc:AlternateContent>
  <xr:revisionPtr revIDLastSave="0" documentId="8_{F3BE4DA2-5548-4F02-93D9-D366A944EC5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Overview" sheetId="1" r:id="rId1"/>
    <sheet name="Template" sheetId="9" r:id="rId2"/>
    <sheet name="Release 25-03" sheetId="11" state="hidden" r:id="rId3"/>
    <sheet name="Release 25-07" sheetId="10" state="hidden" r:id="rId4"/>
    <sheet name="Work instruction" sheetId="8" r:id="rId5"/>
    <sheet name="Predefined values" sheetId="6" r:id="rId6"/>
  </sheets>
  <definedNames>
    <definedName name="_xlnm._FilterDatabase" localSheetId="1" hidden="1">Template!$A$3:$I$21</definedName>
    <definedName name="_xlnm.Print_Area" localSheetId="0">Overview!$B:$Q</definedName>
    <definedName name="ISFOXClassificationHistory_0" hidden="1">"DOMFGDVB\pf26857;d4c75f49-f1ee-485c-aa75-2c54e2ab5223;Internal;2017-07-24T17:36:53;;DRX|"</definedName>
    <definedName name="ISFOXClassificationId" hidden="1">"d4c75f49-f1ee-485c-aa75-2c54e2ab5223"</definedName>
    <definedName name="ISFOXClassificationInKeywords" hidden="1">"Internal"</definedName>
    <definedName name="ISFOXClassificationName" hidden="1">"Internal"</definedName>
    <definedName name="ISFOXDocumentClassificationVersion" hidden="1">3</definedName>
    <definedName name="ISFOXLabelingDefaultPosition">3</definedName>
    <definedName name="ISFOXLabelingVisibleInDocument" hidden="1">"True"</definedName>
    <definedName name="ISFOXOldClassificationId" hidden="1">"d4c75f49-f1ee-485c-aa75-2c54e2ab5223"</definedName>
    <definedName name="ISFOXOldClassificationIdBackup" hidden="1">"00000000-0000-0000-0000-000000000000"</definedName>
    <definedName name="ISFOXPrefix" hidden="1">"DRX"</definedName>
    <definedName name="ISFOXPreviousClassificationId" hidden="1">"d4c75f49-f1ee-485c-aa75-2c54e2ab5223"</definedName>
    <definedName name="ISFOXSaveAsProcess" hidden="1">"True"</definedName>
    <definedName name="ISFOXShowClassificationRequestWindow" hidden="1">"False"</definedName>
    <definedName name="ISFOXVersionHistoryCount" hidden="1">1</definedName>
    <definedName name="ISFOXVersioningChanged" hidden="1">"True"</definedName>
    <definedName name="ISFOXWorkbookInitialized" hidden="1">"False"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11" l="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K3" i="10"/>
  <c r="S3" i="10"/>
  <c r="R3" i="10"/>
  <c r="Q3" i="10"/>
  <c r="P3" i="10"/>
  <c r="O3" i="10"/>
  <c r="N3" i="10"/>
  <c r="M3" i="10"/>
  <c r="L3" i="10"/>
  <c r="H3" i="10"/>
  <c r="J3" i="10"/>
  <c r="I3" i="10"/>
  <c r="G3" i="10"/>
  <c r="F3" i="10"/>
  <c r="E3" i="10"/>
  <c r="D3" i="10" l="1"/>
  <c r="C3" i="10"/>
  <c r="F4" i="1"/>
  <c r="B5" i="1"/>
  <c r="J3" i="1"/>
  <c r="B3" i="1"/>
  <c r="F5" i="1"/>
  <c r="F2" i="1"/>
  <c r="F3" i="1"/>
  <c r="N5" i="1"/>
  <c r="J4" i="1"/>
  <c r="J2" i="1"/>
  <c r="B2" i="1"/>
  <c r="J5" i="1"/>
  <c r="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Bindczeck Sven TB</author>
    <author>Mueller Jan TC12</author>
    <author>Heimerl Andreas TH52</author>
    <author>Mueller Jan TM12</author>
  </authors>
  <commentList>
    <comment ref="A3" authorId="0" shapeId="0" xr:uid="{A73DFAD7-001E-42ED-92AE-3E9B95EAC4D8}">
      <text>
        <r>
          <rPr>
            <sz val="9"/>
            <color indexed="81"/>
            <rFont val="Segoe UI"/>
            <family val="2"/>
          </rPr>
          <t xml:space="preserve">Unique identification of the data entries
</t>
        </r>
        <r>
          <rPr>
            <b/>
            <sz val="9"/>
            <color indexed="81"/>
            <rFont val="Segoe UI"/>
            <family val="2"/>
          </rPr>
          <t xml:space="preserve">Format:
</t>
        </r>
        <r>
          <rPr>
            <sz val="9"/>
            <color indexed="81"/>
            <rFont val="Segoe UI"/>
            <family val="2"/>
          </rPr>
          <t>ID&lt;running number of 3 digists&gt;</t>
        </r>
      </text>
    </comment>
    <comment ref="B3" authorId="0" shapeId="0" xr:uid="{58AF2AD1-A1D6-4AC3-93AF-2D54997EF44F}">
      <text>
        <r>
          <rPr>
            <sz val="9"/>
            <color indexed="81"/>
            <rFont val="Segoe UI"/>
            <family val="2"/>
          </rPr>
          <t>Unique descriptive name of the data entries</t>
        </r>
      </text>
    </comment>
    <comment ref="C3" authorId="0" shapeId="0" xr:uid="{8F9E4DDB-CCD6-490A-B9C0-3677EF40FB18}">
      <text>
        <r>
          <rPr>
            <sz val="9"/>
            <color indexed="81"/>
            <rFont val="Segoe UI"/>
            <family val="2"/>
          </rPr>
          <t>Name of the attribute in MES</t>
        </r>
      </text>
    </comment>
    <comment ref="D3" authorId="0" shapeId="0" xr:uid="{445EB963-A45B-43BD-AA51-5BA352B5F3FA}">
      <text>
        <r>
          <rPr>
            <sz val="9"/>
            <color indexed="81"/>
            <rFont val="Segoe UI"/>
            <family val="2"/>
          </rPr>
          <t>Name of the attribute in the machine interface</t>
        </r>
      </text>
    </comment>
    <comment ref="E3" authorId="0" shapeId="0" xr:uid="{40F4F370-4525-4E29-B6D7-462A48B46B9D}">
      <text>
        <r>
          <rPr>
            <sz val="9"/>
            <color indexed="81"/>
            <rFont val="Segoe UI"/>
            <family val="2"/>
          </rPr>
          <t>Explainations of the meaning are given in the sheet "Predefined values"</t>
        </r>
      </text>
    </comment>
    <comment ref="F3" authorId="0" shapeId="0" xr:uid="{A2DB218B-428F-40B9-9074-D15216B60DA3}">
      <text>
        <r>
          <rPr>
            <sz val="9"/>
            <color indexed="81"/>
            <rFont val="Segoe UI"/>
            <family val="2"/>
          </rPr>
          <t xml:space="preserve">Provide here the source, where the value is taken from; if possible via a link into the tool, otherwise the source as specific as possible, by providing the sheet, objectname etc.
</t>
        </r>
      </text>
    </comment>
    <comment ref="G3" authorId="0" shapeId="0" xr:uid="{7B12E4AF-E70A-4AB3-8881-278AC8F1B9E1}">
      <text>
        <r>
          <rPr>
            <sz val="9"/>
            <color indexed="81"/>
            <rFont val="Segoe UI"/>
            <family val="2"/>
          </rPr>
          <t>Frontend describes the production of an electronic. Explainations of the meaning are given in the sheet "Predefined values"</t>
        </r>
      </text>
    </comment>
    <comment ref="H3" authorId="0" shapeId="0" xr:uid="{6A6CF622-FE08-4F2B-B0DE-2C5D674EE8BC}">
      <text>
        <r>
          <rPr>
            <sz val="9"/>
            <color indexed="81"/>
            <rFont val="Segoe UI"/>
            <family val="2"/>
          </rPr>
          <t>Backend describes the assembly and end-of-line testing of a series product. Explainations of the meaning are given in the sheet "Predefined values"</t>
        </r>
      </text>
    </comment>
    <comment ref="I3" authorId="0" shapeId="0" xr:uid="{9418635F-B189-4358-964A-D9254D9EF589}">
      <text>
        <r>
          <rPr>
            <sz val="9"/>
            <color indexed="81"/>
            <rFont val="Segoe UI"/>
            <family val="2"/>
          </rPr>
          <t xml:space="preserve">Reosponsible role to provide the information during the development iteration; based on the role names in ADONIS.
</t>
        </r>
      </text>
    </comment>
    <comment ref="J3" authorId="0" shapeId="0" xr:uid="{3FDD9174-9330-40E7-A83B-115118DDAFA7}">
      <text>
        <r>
          <rPr>
            <sz val="9"/>
            <color indexed="81"/>
            <rFont val="Segoe UI"/>
            <family val="2"/>
          </rPr>
          <t>Explainations of the meaning are given in the sheet "Predefined values"</t>
        </r>
      </text>
    </comment>
    <comment ref="K3" authorId="0" shapeId="0" xr:uid="{6601B1C5-F102-482D-887B-78AAC284E058}">
      <text>
        <r>
          <rPr>
            <sz val="9"/>
            <color indexed="81"/>
            <rFont val="Segoe UI"/>
            <family val="2"/>
          </rPr>
          <t xml:space="preserve">Length of the data set value in bytes; needed for tbd
</t>
        </r>
      </text>
    </comment>
    <comment ref="L3" authorId="0" shapeId="0" xr:uid="{37276910-D3E6-4243-9DFE-348C8A305C87}">
      <text>
        <r>
          <rPr>
            <sz val="9"/>
            <color indexed="81"/>
            <rFont val="Segoe UI"/>
            <family val="2"/>
          </rPr>
          <t>Describes th e format to be provided, e .g. values needs always 11 digits and when the string is shorter spaces are added at the end</t>
        </r>
      </text>
    </comment>
    <comment ref="M3" authorId="0" shapeId="0" xr:uid="{10688606-F99C-48F6-9359-114E38C38475}">
      <text>
        <r>
          <rPr>
            <sz val="9"/>
            <color indexed="81"/>
            <rFont val="Segoe UI"/>
            <family val="2"/>
          </rPr>
          <t xml:space="preserve">Value of the data set
</t>
        </r>
      </text>
    </comment>
    <comment ref="N3" authorId="0" shapeId="0" xr:uid="{C3FB8826-CA8D-49CC-A94F-7D7B4A38BA9C}">
      <text>
        <r>
          <rPr>
            <sz val="9"/>
            <color indexed="81"/>
            <rFont val="Segoe UI"/>
            <family val="2"/>
          </rPr>
          <t>Needed only for data sets related to SW deployment container, in case there are more than one SW deployment container is available for the same product, e. g. 2 µC are on a PCB or 2 different update container are available for the same product.SW matieral number of the product</t>
        </r>
      </text>
    </comment>
    <comment ref="O3" authorId="0" shapeId="0" xr:uid="{19870DC9-FDC8-4566-A968-32BD1CE3AB96}">
      <text>
        <r>
          <rPr>
            <sz val="9"/>
            <color indexed="81"/>
            <rFont val="Segoe UI"/>
            <family val="2"/>
          </rPr>
          <t xml:space="preserve">Description of the data set, so that the responsible role knows, what is behind the data and from where he/she can get the information.
</t>
        </r>
      </text>
    </comment>
    <comment ref="I5" authorId="1" shapeId="0" xr:uid="{BC176115-35BC-4347-9B8D-CE27590795CA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Sachnummernliste!!
Spalte W</t>
        </r>
      </text>
    </comment>
    <comment ref="I6" authorId="1" shapeId="0" xr:uid="{AD4847A7-DCBB-4554-AF32-12EE9733171C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Sachnummernliste!!Spalte X</t>
        </r>
      </text>
    </comment>
    <comment ref="I7" authorId="1" shapeId="0" xr:uid="{5627BFF0-DD16-41C7-BB2A-C1CAB63C0A1A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Sachnummernliste!!
Spalte A</t>
        </r>
      </text>
    </comment>
    <comment ref="M7" authorId="1" shapeId="0" xr:uid="{A73BD544-0080-4272-8AA9-F0DEDB6782EE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Charging socket variant (1: CCS1, 2: CCS2, 3: TWIN-JP, 4: DC-CN , 5: TWIN-CN, 6: ChaoJi DC, 7: NACS)
 </t>
        </r>
      </text>
    </comment>
    <comment ref="BU7" authorId="1" shapeId="0" xr:uid="{C32383EA-3135-4B76-A7BF-3E89FCE9B7AC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Charging socket variant (1: CCS1, 2: CCS2, 3: TWIN-JP, 4: DC-CN , 5: TWIN-CN, 6: ChaoJi DC, 7: NACS)
 </t>
        </r>
      </text>
    </comment>
    <comment ref="BV7" authorId="1" shapeId="0" xr:uid="{A845A1A8-38A4-4D44-99F8-9BA6E88CC18D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Charging socket variant (1: CCS1, 2: CCS2, 3: TWIN-JP, 4: DC-CN , 5: TWIN-CN, 6: ChaoJi DC, 7: NACS)
 </t>
        </r>
      </text>
    </comment>
    <comment ref="I8" authorId="1" shapeId="0" xr:uid="{876BC457-135F-4A1E-842F-8CD6CD6BC497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Sachnummerliste!
HWEL, Spalte Q</t>
        </r>
      </text>
    </comment>
    <comment ref="I9" authorId="1" shapeId="0" xr:uid="{9BC49EC3-63B6-4CC2-82D2-BFC2FFDCDD47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Sachnummerliste!
HWEL, Spalte Q</t>
        </r>
      </text>
    </comment>
    <comment ref="I10" authorId="1" shapeId="0" xr:uid="{9E7E68AB-EF6F-475A-BF52-F158A7B2C3C9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HW:
z.B. 040501, eigentlich aus P&amp;L / oder TLL/ oder Releaseplanung</t>
        </r>
      </text>
    </comment>
    <comment ref="I11" authorId="1" shapeId="0" xr:uid="{9DB939E9-2C32-4D2D-963C-63F59B6473F9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Empfehlung SYS: NICHT SCHREIBEN</t>
        </r>
      </text>
    </comment>
    <comment ref="M11" authorId="2" shapeId="0" xr:uid="{BD913D66-8AE5-4B1C-9467-6FFBD16A1495}">
      <text>
        <r>
          <rPr>
            <b/>
            <sz val="9"/>
            <color indexed="81"/>
            <rFont val="Segoe UI"/>
            <family val="2"/>
          </rPr>
          <t>Heimerl Andreas TH52: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Nexus path is provided in PTC after succesful publication of the SW container.</t>
        </r>
      </text>
    </comment>
    <comment ref="BU11" authorId="2" shapeId="0" xr:uid="{96EA7009-DC79-40E9-B83D-9230BA4FDD8B}">
      <text>
        <r>
          <rPr>
            <b/>
            <sz val="9"/>
            <color indexed="81"/>
            <rFont val="Segoe UI"/>
            <family val="2"/>
          </rPr>
          <t>Heimerl Andreas TH52: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Nexus path is provided in PTC after succesful publication of the SW container.</t>
        </r>
      </text>
    </comment>
    <comment ref="I13" authorId="1" shapeId="0" xr:uid="{A598807B-DB95-40BC-AD99-8E8585C49716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Empfehlung SYS: NICHT SCHREIBEN</t>
        </r>
      </text>
    </comment>
    <comment ref="M13" authorId="2" shapeId="0" xr:uid="{C60089EC-4F31-455F-8453-33A9D93502F8}">
      <text>
        <r>
          <rPr>
            <b/>
            <sz val="9"/>
            <color indexed="81"/>
            <rFont val="Segoe UI"/>
            <family val="2"/>
          </rPr>
          <t>Heimerl Andreas TH52:</t>
        </r>
        <r>
          <rPr>
            <sz val="9"/>
            <color indexed="81"/>
            <rFont val="Segoe UI"/>
            <family val="2"/>
          </rPr>
          <t xml:space="preserve">
Checksum is provided in PTC after succesful publication of the SW container.</t>
        </r>
      </text>
    </comment>
    <comment ref="BU13" authorId="2" shapeId="0" xr:uid="{6E519544-B003-46CF-A6B6-1A75C40C213A}">
      <text>
        <r>
          <rPr>
            <b/>
            <sz val="9"/>
            <color indexed="81"/>
            <rFont val="Segoe UI"/>
            <family val="2"/>
          </rPr>
          <t>Heimerl Andreas TH52:</t>
        </r>
        <r>
          <rPr>
            <sz val="9"/>
            <color indexed="81"/>
            <rFont val="Segoe UI"/>
            <family val="2"/>
          </rPr>
          <t xml:space="preserve">
Checksum is provided in PTC after succesful publication of the SW container.</t>
        </r>
      </text>
    </comment>
    <comment ref="I14" authorId="3" shapeId="0" xr:uid="{E0B21991-01FF-4066-9C29-B770683F724B}">
      <text>
        <r>
          <rPr>
            <b/>
            <sz val="9"/>
            <color indexed="81"/>
            <rFont val="Segoe UI"/>
            <family val="2"/>
          </rPr>
          <t>Mueller Jan TM12:</t>
        </r>
        <r>
          <rPr>
            <sz val="9"/>
            <color indexed="81"/>
            <rFont val="Segoe UI"/>
            <family val="2"/>
          </rPr>
          <t xml:space="preserve">
Sachnummernliste
&gt;Software
&gt;Spalte C
&gt;e.g. C15B</t>
        </r>
      </text>
    </comment>
    <comment ref="I15" authorId="3" shapeId="0" xr:uid="{0B6463B5-7B44-4FBF-8505-33884368071C}">
      <text>
        <r>
          <rPr>
            <b/>
            <sz val="9"/>
            <color indexed="81"/>
            <rFont val="Segoe UI"/>
            <family val="2"/>
          </rPr>
          <t>Mueller Jan TM12:</t>
        </r>
        <r>
          <rPr>
            <sz val="9"/>
            <color indexed="81"/>
            <rFont val="Segoe UI"/>
            <family val="2"/>
          </rPr>
          <t xml:space="preserve">
Sachnummernliste
&gt;Software
&gt;Spalte C
&gt;e.g. 019.040.002</t>
        </r>
      </text>
    </comment>
    <comment ref="I16" authorId="3" shapeId="0" xr:uid="{69D92F54-446F-41DC-8174-75C4DC39E085}">
      <text>
        <r>
          <rPr>
            <b/>
            <sz val="9"/>
            <color indexed="81"/>
            <rFont val="Segoe UI"/>
            <family val="2"/>
          </rPr>
          <t>Mueller Jan TM12:</t>
        </r>
        <r>
          <rPr>
            <sz val="9"/>
            <color indexed="81"/>
            <rFont val="Segoe UI"/>
            <family val="2"/>
          </rPr>
          <t xml:space="preserve">
Sachnummernliste
&gt;Software
&gt;Spalte D
&gt;e.g. C15F</t>
        </r>
      </text>
    </comment>
    <comment ref="I17" authorId="3" shapeId="0" xr:uid="{8C923ACC-68FA-4B8F-B6D1-E115EA4296C8}">
      <text>
        <r>
          <rPr>
            <b/>
            <sz val="9"/>
            <color indexed="81"/>
            <rFont val="Segoe UI"/>
            <family val="2"/>
          </rPr>
          <t>Mueller Jan TM12:</t>
        </r>
        <r>
          <rPr>
            <sz val="9"/>
            <color indexed="81"/>
            <rFont val="Segoe UI"/>
            <family val="2"/>
          </rPr>
          <t xml:space="preserve">
Sachnummernliste
&gt;Software
&gt;Spalte D
&gt;e.g. 019.040.002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Mueller Jan TC12</author>
  </authors>
  <commentList>
    <comment ref="I8" authorId="0" shapeId="0" xr:uid="{AA61E72F-EB9A-467F-8447-20D170527CC7}">
      <text>
        <r>
          <rPr>
            <b/>
            <sz val="9"/>
            <color indexed="81"/>
            <rFont val="Segoe UI"/>
            <family val="2"/>
          </rPr>
          <t>Mueller Jan TC12:</t>
        </r>
        <r>
          <rPr>
            <sz val="9"/>
            <color indexed="81"/>
            <rFont val="Segoe UI"/>
            <family val="2"/>
          </rPr>
          <t xml:space="preserve">
according to Michal, not possible --&gt; Jan/Plötz</t>
        </r>
      </text>
    </comment>
  </commentList>
</comments>
</file>

<file path=xl/sharedStrings.xml><?xml version="1.0" encoding="utf-8"?>
<sst xmlns="http://schemas.openxmlformats.org/spreadsheetml/2006/main" count="1846" uniqueCount="355">
  <si>
    <t>Document Log</t>
  </si>
  <si>
    <t>Description:</t>
  </si>
  <si>
    <t>Type the description…</t>
  </si>
  <si>
    <t>Change Description:</t>
  </si>
  <si>
    <t>Type the change description…</t>
  </si>
  <si>
    <t>Information Class:</t>
  </si>
  <si>
    <t>Type the information class…</t>
  </si>
  <si>
    <t>Version</t>
  </si>
  <si>
    <t>Change description</t>
  </si>
  <si>
    <t>Changed by</t>
  </si>
  <si>
    <t>Change date</t>
  </si>
  <si>
    <t>1.0</t>
  </si>
  <si>
    <t>-</t>
  </si>
  <si>
    <t>Value</t>
  </si>
  <si>
    <t>File length</t>
  </si>
  <si>
    <t>Step</t>
  </si>
  <si>
    <t>Description</t>
  </si>
  <si>
    <t>Remark</t>
  </si>
  <si>
    <t xml:space="preserve">When due to an engineering change order a data set is not needed anymore, then the "data ID" of the following data sets must not change; the removed data set need not to be listed in this file anymore </t>
  </si>
  <si>
    <t>Initial version</t>
  </si>
  <si>
    <t>Sven Bindczeck</t>
  </si>
  <si>
    <t>Fill the content respective information into the datas sets</t>
  </si>
  <si>
    <t>Per development iteration provide/release the production information file for further (automatic) proceeding</t>
  </si>
  <si>
    <t>Save the project specific template under the name "&lt;project number&gt;_&lt;project string - optional&gt;_production information file template.xlsm", e. g. "1-02005-001_LBB_production information file template.xlsm"</t>
  </si>
  <si>
    <t>Save the file under the name "&lt;project number&gt;_&lt;project string - optional&gt;_production information file_&lt;material number&gt;-&lt;revision&gt;.xlsm"e. g. "1-02005-001_LBB_production information file_123456789-001.xlsm" under the ECR, which is used to create a new revision of the part BOM; the material number is the number of the product to be produced.</t>
  </si>
  <si>
    <t>MES</t>
  </si>
  <si>
    <r>
      <t xml:space="preserve">Save the file as "CSV (MS-DOS) (*.csv)" </t>
    </r>
    <r>
      <rPr>
        <sz val="11"/>
        <color rgb="FFFF0000"/>
        <rFont val="Calibri"/>
        <family val="2"/>
        <scheme val="minor"/>
      </rPr>
      <t>or tbd "CSV (Macintosh) (*.csv)"</t>
    </r>
    <r>
      <rPr>
        <sz val="11"/>
        <color theme="1"/>
        <rFont val="Calibri"/>
        <family val="2"/>
        <scheme val="minor"/>
      </rPr>
      <t xml:space="preserve"> under the name "&lt;material number&gt;-&lt;revision&gt;.csv", e. g. "123456789-001.csv" under the ECR, which is used to create a new revision of the part BOM; the material number is the number of the product to be produced.</t>
    </r>
  </si>
  <si>
    <t>WRITING</t>
  </si>
  <si>
    <t>CHECKING</t>
  </si>
  <si>
    <t>for data which are used e. g. by the EoL to check the consisitency of a product; they are not written on the HW or</t>
  </si>
  <si>
    <t>for data which are not relevant for the deployment or EoL process, but relevant vor MES, e. g. product identification lasered on the PCB or printed on a label</t>
  </si>
  <si>
    <r>
      <t>Predefined values for "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>"</t>
    </r>
  </si>
  <si>
    <r>
      <t xml:space="preserve">for data which are written e. g. on the HW like the </t>
    </r>
    <r>
      <rPr>
        <sz val="11"/>
        <color rgb="FFFF0000"/>
        <rFont val="Calibri"/>
        <family val="2"/>
        <scheme val="minor"/>
      </rPr>
      <t>tbd</t>
    </r>
  </si>
  <si>
    <t>---</t>
  </si>
  <si>
    <t>ID017</t>
  </si>
  <si>
    <t>ID016</t>
  </si>
  <si>
    <t>01</t>
  </si>
  <si>
    <t>ID015</t>
  </si>
  <si>
    <t>ID014</t>
  </si>
  <si>
    <t>ID013</t>
  </si>
  <si>
    <t>ID012</t>
  </si>
  <si>
    <t>ID011</t>
  </si>
  <si>
    <t>ID010</t>
  </si>
  <si>
    <t>ID009</t>
  </si>
  <si>
    <t>ID008</t>
  </si>
  <si>
    <t>ID007</t>
  </si>
  <si>
    <t>ID005</t>
  </si>
  <si>
    <t>ID004</t>
  </si>
  <si>
    <t>ID003</t>
  </si>
  <si>
    <t>MES_CustomerChangeIndex</t>
  </si>
  <si>
    <t>ID002</t>
  </si>
  <si>
    <t>MES_CustomerNumber</t>
  </si>
  <si>
    <t>ID001</t>
  </si>
  <si>
    <t>ID000</t>
  </si>
  <si>
    <t>Source IT System
(Link, Objektname)</t>
  </si>
  <si>
    <t>Documentation</t>
  </si>
  <si>
    <t>Adaptations due to the 1st dry run with BEA3</t>
  </si>
  <si>
    <t>Data
ID</t>
  </si>
  <si>
    <t>YES</t>
  </si>
  <si>
    <t>NO</t>
  </si>
  <si>
    <t>The value must be documented during the production</t>
  </si>
  <si>
    <t>The value need not to be documented during the production</t>
  </si>
  <si>
    <t>functional project manager development</t>
  </si>
  <si>
    <t>Documen-
tation</t>
  </si>
  <si>
    <t>Responsible Role</t>
  </si>
  <si>
    <t>SW Material
Number</t>
  </si>
  <si>
    <t>Machine Interface Name
(z. B. OPC UA)</t>
  </si>
  <si>
    <t>MES Name</t>
  </si>
  <si>
    <t>Create out of the DRÄXLMAIER template a project specfic template at project start</t>
  </si>
  <si>
    <t>Fill per development iteration where a series production for the release object is planned the needed values</t>
  </si>
  <si>
    <t>Remove all sheet, except the sheet "Template"</t>
  </si>
  <si>
    <t>Relevant for
Frontend</t>
  </si>
  <si>
    <t>Relevant for
Backend</t>
  </si>
  <si>
    <t>Data
Type</t>
  </si>
  <si>
    <t>Length
[Bytes]</t>
  </si>
  <si>
    <t>Relevant for Frontend / Relevant for Backend</t>
  </si>
  <si>
    <t>Data Name</t>
  </si>
  <si>
    <t>Data Type</t>
  </si>
  <si>
    <t>STRING</t>
  </si>
  <si>
    <t>INT</t>
  </si>
  <si>
    <t>The value is a string</t>
  </si>
  <si>
    <t>FLOAT</t>
  </si>
  <si>
    <t>The value is an floating number</t>
  </si>
  <si>
    <t>The value is an integer number</t>
  </si>
  <si>
    <t>Put the number of data sets in the file in the cell G2</t>
  </si>
  <si>
    <t>24.09.2024</t>
  </si>
  <si>
    <t>Number of data entries</t>
  </si>
  <si>
    <t>The data sets (as defined at project start and later perhaps updated by a engineering change order) with the needed information for the serial production of a product are entered from row 3 onwards (project specific data entries). For the meaning of the different columns see the notes in the respective column.</t>
  </si>
  <si>
    <t>1.8</t>
  </si>
  <si>
    <t>Revision</t>
  </si>
  <si>
    <t>To be defined during project start</t>
  </si>
  <si>
    <t>To be filled per revision</t>
  </si>
  <si>
    <t>Format</t>
  </si>
  <si>
    <t>Software container - artefact ID</t>
  </si>
  <si>
    <t>Software container - version</t>
  </si>
  <si>
    <t>Software container - checksum</t>
  </si>
  <si>
    <t>BMW part number (Customer part number)</t>
  </si>
  <si>
    <t>5A59A60</t>
  </si>
  <si>
    <t>BMW change index (Customer change index)</t>
  </si>
  <si>
    <t>7 characters</t>
  </si>
  <si>
    <t>2 characters, leading zero</t>
  </si>
  <si>
    <t>See pd_oem_changeindex</t>
  </si>
  <si>
    <t>See pd_oem_sgmb_id.</t>
  </si>
  <si>
    <t>The BMW customer number e.g. 5A59A60.</t>
  </si>
  <si>
    <t>BMW hardware variant</t>
  </si>
  <si>
    <t>URL</t>
  </si>
  <si>
    <t>https://nexus-dflash.internal.draexlmaier.com/repository/dfalsh-hosted/SW_Container/09-03321 …</t>
  </si>
  <si>
    <t>CRC32</t>
  </si>
  <si>
    <t>989e7c32b8cb8b26f02895fa2b8bd4b2</t>
  </si>
  <si>
    <t>The software binary path in nexus (see Windchill/PTC &gt; Automated Software Publications)</t>
  </si>
  <si>
    <t>TBD</t>
  </si>
  <si>
    <t>Hardware Identifier PCB Version</t>
  </si>
  <si>
    <t>2 characters major version + 2 characters minor version + 2 characters label count</t>
  </si>
  <si>
    <t>PM-SW</t>
  </si>
  <si>
    <t>04.01.02</t>
  </si>
  <si>
    <t>The checksum of the software container (see Windchill/PTC &gt; Automated Software Publications)</t>
  </si>
  <si>
    <t>Input: dezimal 
Output to ECU: HEX</t>
  </si>
  <si>
    <t>060507</t>
  </si>
  <si>
    <t>BMW SGBM-ID HWEL</t>
  </si>
  <si>
    <t>BMW HWEL Version</t>
  </si>
  <si>
    <t>002_030_010</t>
  </si>
  <si>
    <t>B08C</t>
  </si>
  <si>
    <t>HWEL version number provided by customer.</t>
  </si>
  <si>
    <t>HEX</t>
  </si>
  <si>
    <t>CCS2</t>
  </si>
  <si>
    <t>C2.1-3</t>
  </si>
  <si>
    <t>5B68E42</t>
  </si>
  <si>
    <t>CCS1</t>
  </si>
  <si>
    <t>C2.0-3</t>
  </si>
  <si>
    <t>5B68E44</t>
  </si>
  <si>
    <t>B08D</t>
  </si>
  <si>
    <t>NACS</t>
  </si>
  <si>
    <t>B2.2-2</t>
  </si>
  <si>
    <t>4B11791</t>
  </si>
  <si>
    <t>C390</t>
  </si>
  <si>
    <t>002.020.022</t>
  </si>
  <si>
    <t>5B68E46</t>
  </si>
  <si>
    <t>5B68E47</t>
  </si>
  <si>
    <t>BD00</t>
  </si>
  <si>
    <t xml:space="preserve"> BMW BTLD SGBM-ID</t>
  </si>
  <si>
    <t xml:space="preserve"> BMW SWFL SGBM-ID</t>
  </si>
  <si>
    <t>ASCII</t>
  </si>
  <si>
    <t>03.01.02</t>
  </si>
  <si>
    <t>TPL-HW</t>
  </si>
  <si>
    <t>Example</t>
  </si>
  <si>
    <t>Release</t>
  </si>
  <si>
    <t>Variante</t>
  </si>
  <si>
    <t>TWIN-JP</t>
  </si>
  <si>
    <t>TWIN-CN</t>
  </si>
  <si>
    <t>002.030.020</t>
  </si>
  <si>
    <t>tbd.</t>
  </si>
  <si>
    <t>DRX Bootloader version</t>
  </si>
  <si>
    <t>DRX Application version</t>
  </si>
  <si>
    <t>DRX Melexis version</t>
  </si>
  <si>
    <t>B08B</t>
  </si>
  <si>
    <t xml:space="preserve"> BMW SWFL Version</t>
  </si>
  <si>
    <t xml:space="preserve"> BMW BTLD Version</t>
  </si>
  <si>
    <t>C15B</t>
  </si>
  <si>
    <t>C15F</t>
  </si>
  <si>
    <t>019.030.003</t>
  </si>
  <si>
    <t>04.01.07</t>
  </si>
  <si>
    <t>03.01.07</t>
  </si>
  <si>
    <t>DRX DUT version</t>
  </si>
  <si>
    <t>'04.01.02</t>
  </si>
  <si>
    <t>24.48.00</t>
  </si>
  <si>
    <t>see description</t>
  </si>
  <si>
    <t>Integrity</t>
  </si>
  <si>
    <t>SVN</t>
  </si>
  <si>
    <t>DRX Melexis version (Light Controller)</t>
  </si>
  <si>
    <t>DRX DUT version (Production SW)</t>
  </si>
  <si>
    <t>Container includes BTLD, APPL, DUT SW and Melexis SW</t>
  </si>
  <si>
    <t>HW version of main PCB</t>
  </si>
  <si>
    <t>2 char major version + "." + 2 char middle version + "." + 2 char minor version</t>
  </si>
  <si>
    <r>
      <t>SN_LIST_</t>
    </r>
    <r>
      <rPr>
        <sz val="8"/>
        <color rgb="FF0000FF"/>
        <rFont val="Arial Narrow"/>
        <family val="2"/>
      </rPr>
      <t>XXXXXX</t>
    </r>
    <r>
      <rPr>
        <sz val="8"/>
        <color theme="1"/>
        <rFont val="Arial Narrow"/>
        <family val="2"/>
      </rPr>
      <t>_SNR_GEN6-Ladedose_v</t>
    </r>
    <r>
      <rPr>
        <sz val="8"/>
        <color rgb="FF0000FF"/>
        <rFont val="Arial Narrow"/>
        <family val="2"/>
      </rPr>
      <t>XX</t>
    </r>
    <r>
      <rPr>
        <sz val="8"/>
        <color theme="1"/>
        <rFont val="Arial Narrow"/>
        <family val="2"/>
      </rPr>
      <t>.xlsx</t>
    </r>
  </si>
  <si>
    <t>ID006</t>
  </si>
  <si>
    <t>SW 25-07</t>
  </si>
  <si>
    <t>5A731A4</t>
  </si>
  <si>
    <t>CCS1 XNF L</t>
  </si>
  <si>
    <t>CCS1 XNF XL</t>
  </si>
  <si>
    <t>5B5D012</t>
  </si>
  <si>
    <t>C202</t>
  </si>
  <si>
    <t>CCS2 XNF L</t>
  </si>
  <si>
    <t>CCS2 XNF XL</t>
  </si>
  <si>
    <t>C2.2-3</t>
  </si>
  <si>
    <t>5B6D850</t>
  </si>
  <si>
    <t>5B6D849</t>
  </si>
  <si>
    <t>C201</t>
  </si>
  <si>
    <t>TWIN-JP XNF L</t>
  </si>
  <si>
    <t>040205</t>
  </si>
  <si>
    <t>5A731A5</t>
  </si>
  <si>
    <t>Müller</t>
  </si>
  <si>
    <t>030212</t>
  </si>
  <si>
    <t>TWIN-CN XNF L</t>
  </si>
  <si>
    <t>5B47B37</t>
  </si>
  <si>
    <t>C1.1-2</t>
  </si>
  <si>
    <t>DEC8</t>
  </si>
  <si>
    <t>SW 25-03</t>
  </si>
  <si>
    <t>5B68612</t>
  </si>
  <si>
    <t>002.020.010</t>
  </si>
  <si>
    <t>DEC9</t>
  </si>
  <si>
    <t>019.010.001</t>
  </si>
  <si>
    <t>030103</t>
  </si>
  <si>
    <t>05.00.51</t>
  </si>
  <si>
    <t>04.00.51</t>
  </si>
  <si>
    <t>24.48.53</t>
  </si>
  <si>
    <t>OEMCUSTOMERPARTNR</t>
  </si>
  <si>
    <t>CHANGEINDEX</t>
  </si>
  <si>
    <t>HW_VARIANT</t>
  </si>
  <si>
    <t>MES_HW_VARIANT</t>
  </si>
  <si>
    <t>SGBM_ID</t>
  </si>
  <si>
    <t>MES_SGBM_ID</t>
  </si>
  <si>
    <t>SGBM_Version</t>
  </si>
  <si>
    <t>MES_SGBM_Version</t>
  </si>
  <si>
    <t>HW_IDENTIFIER</t>
  </si>
  <si>
    <t>MES_HW_IDENTIFIER</t>
  </si>
  <si>
    <t>SW_ARTIFACT_ID</t>
  </si>
  <si>
    <t>MES_SW_ARTIFACT_ID</t>
  </si>
  <si>
    <t>SW_VERSION</t>
  </si>
  <si>
    <t>MES_SW_VERSION</t>
  </si>
  <si>
    <t>SW_CHECKSUM</t>
  </si>
  <si>
    <t>MES_SW_CHECKSUM</t>
  </si>
  <si>
    <t>SGBM_Bootloader</t>
  </si>
  <si>
    <t>MES_SGBM_Bootloader</t>
  </si>
  <si>
    <t>SGBM_Bootloader_Version</t>
  </si>
  <si>
    <t>MES_SGBM_Bootloader_Version</t>
  </si>
  <si>
    <t>SGBM_SWFL</t>
  </si>
  <si>
    <t>MES_SGBM_SWFL</t>
  </si>
  <si>
    <t>SGBM_SWFL_Version</t>
  </si>
  <si>
    <t>MES_SGBM_SWFL_Version</t>
  </si>
  <si>
    <t>SW_VERSION_BOOTLOADER</t>
  </si>
  <si>
    <t>MES_SW_VERSION_BOOTLOADER</t>
  </si>
  <si>
    <t>SW_VERSION_APPLICATION</t>
  </si>
  <si>
    <t>MES_SW_VERSION_APPLICATION</t>
  </si>
  <si>
    <t>SW_VERSION_DUT</t>
  </si>
  <si>
    <t>MES_SW_VERSION_DUT</t>
  </si>
  <si>
    <t>SW_HARDWARE_VERSION</t>
  </si>
  <si>
    <t>MES_SW_HARDWARE_VERSION</t>
  </si>
  <si>
    <t>02</t>
  </si>
  <si>
    <t>The hardware variant of the PCBA. 
CCS1: 01 /CCS2: 02 /TWIN-JP: 03 / DC-CN: 04 / TWIN-CN: 05 / ChaoJi DC: 06 / NACS: 07</t>
  </si>
  <si>
    <t>2 character</t>
  </si>
  <si>
    <t>03</t>
  </si>
  <si>
    <t>05</t>
  </si>
  <si>
    <t>TW-CN</t>
  </si>
  <si>
    <t>060103</t>
  </si>
  <si>
    <t>D1.1-3</t>
  </si>
  <si>
    <t>4ee69c75fdf3b0fc3b44023a77954b4a</t>
  </si>
  <si>
    <t>https://nexus-dflash.internal.draexlmaier.com/repository/dflash-hosted/SW_Container/3-03898_BMW_GEN6_Ladedose_und_Ladepfad/P_2226_Classic/IC301_V/04.01.07/IC301_V-04.01.07.zip</t>
  </si>
  <si>
    <t>D1.2-3</t>
  </si>
  <si>
    <t>D2.0-4</t>
  </si>
  <si>
    <t>5B7FD36</t>
  </si>
  <si>
    <t>019.040.002</t>
  </si>
  <si>
    <t>25-27</t>
  </si>
  <si>
    <t>C2.2-4</t>
  </si>
  <si>
    <t>5B7FD37</t>
  </si>
  <si>
    <t>C2.3-4</t>
  </si>
  <si>
    <t>5B7FD38</t>
  </si>
  <si>
    <t>040107</t>
  </si>
  <si>
    <t>C2.1-4</t>
  </si>
  <si>
    <t>5B7FD39</t>
  </si>
  <si>
    <t>C2.3-3</t>
  </si>
  <si>
    <t>25-07</t>
  </si>
  <si>
    <t>D1.0-4</t>
  </si>
  <si>
    <t>5B7FE45</t>
  </si>
  <si>
    <t>tbd</t>
  </si>
  <si>
    <t>25.18.01</t>
  </si>
  <si>
    <t>04.02.01</t>
  </si>
  <si>
    <t>03.01.11</t>
  </si>
  <si>
    <t>5B7FE48</t>
  </si>
  <si>
    <t>https://nexus-dflash.internal.draexlmaier.com/repository/dflash-hosted/SW_Container/3-03898_BMW_GEN6_Ladedose_und_Ladepfad/P_2226_Classic/IC301_V/04.02.01/IC301_V-04.02.01.zip</t>
  </si>
  <si>
    <t>D1.3-3</t>
  </si>
  <si>
    <t>04</t>
  </si>
  <si>
    <t>D1.0-3</t>
  </si>
  <si>
    <t>no production</t>
  </si>
  <si>
    <t>C2.4-4</t>
  </si>
  <si>
    <t>5B7FE18</t>
  </si>
  <si>
    <t>5B7FE22</t>
  </si>
  <si>
    <t>040106</t>
  </si>
  <si>
    <t>TWIN-JP XNF</t>
  </si>
  <si>
    <t>5B7FE82</t>
  </si>
  <si>
    <t>030113</t>
  </si>
  <si>
    <t>TWIN-CN XNF</t>
  </si>
  <si>
    <t>5B7FE83</t>
  </si>
  <si>
    <t>NACS NCAR</t>
  </si>
  <si>
    <t>07</t>
  </si>
  <si>
    <t>002.030.010</t>
  </si>
  <si>
    <t>040204</t>
  </si>
  <si>
    <t>https://nexus-dflash.internal.draexlmaier.com/repository/dflash-hosted/SW_Container/3-03898_BMW_GEN6_Ladedose_und_Ladepfad/P_2226_NACS/IC301_V/05.01.50/IC301_V-05.01.50.zip</t>
  </si>
  <si>
    <t>05.01.50</t>
  </si>
  <si>
    <t>44e74ebe85ef1777162597072112146c</t>
  </si>
  <si>
    <t>19.020.002</t>
  </si>
  <si>
    <t>04.00.52</t>
  </si>
  <si>
    <t>25.18.51</t>
  </si>
  <si>
    <t>C1.1-3b</t>
  </si>
  <si>
    <t>25-18A</t>
  </si>
  <si>
    <t>25-18B</t>
  </si>
  <si>
    <t>C1.1-3a</t>
  </si>
  <si>
    <t>C2.0-4</t>
  </si>
  <si>
    <t>25-39</t>
  </si>
  <si>
    <t>5B88302</t>
  </si>
  <si>
    <t>25-03</t>
  </si>
  <si>
    <t>5B814F3</t>
  </si>
  <si>
    <t>25-33</t>
  </si>
  <si>
    <t>https://nexus-dflash.internal.draexlmaier.com/repository/dflash-hosted/SW_Container/3-03898_BMW_GEN6_Ladedose_und_Ladepfad/P_2226_NACS/IC301_V/05.01.54/IC301_V-05.01.54.zip</t>
  </si>
  <si>
    <t>05.01.54</t>
  </si>
  <si>
    <t>e586fdf97da6d79f12e5a00c8f8613ea</t>
  </si>
  <si>
    <t>19.021.001</t>
  </si>
  <si>
    <t>19.021.004</t>
  </si>
  <si>
    <t>04.00.54</t>
  </si>
  <si>
    <t>PreC2.0-4</t>
  </si>
  <si>
    <t>05.02.52</t>
  </si>
  <si>
    <t>19.030.001</t>
  </si>
  <si>
    <t>19.030.002</t>
  </si>
  <si>
    <t>04.00.55</t>
  </si>
  <si>
    <t>https://nexus-dflash.internal.draexlmaier.com/repository/dflash-hosted/SW_Container/3-03898_BMW_GEN6_Ladedose_und_Ladepfad/P_2226_NACS/IC301_V/05.02.52/IC301_V-05.02.52.zip</t>
  </si>
  <si>
    <t>6ed36ada0d6dc1772c203adcd37a2c40</t>
  </si>
  <si>
    <t>NACS XNF</t>
  </si>
  <si>
    <t>C1.1-3</t>
  </si>
  <si>
    <t>C1.1-4</t>
  </si>
  <si>
    <t>5B68613</t>
  </si>
  <si>
    <t>5B88303</t>
  </si>
  <si>
    <t>5B82682</t>
  </si>
  <si>
    <r>
      <t>002.030.0</t>
    </r>
    <r>
      <rPr>
        <sz val="11"/>
        <color rgb="FFFF0000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0</t>
    </r>
  </si>
  <si>
    <t>PreC1.1-3b</t>
  </si>
  <si>
    <t>C1.1-2=
PreC1.1-3a</t>
  </si>
  <si>
    <t>https://nexus-dflash.internal.draexlmaier.com/repository/dflash-hosted/SW_Container/3-03898_BMW_GEN6_Ladedose_und_Ladepfad/P_2226_NACS/IC301_V/05.00.51/IC301_V-05.00.51.zip</t>
  </si>
  <si>
    <t>55cd6099af9324b76c3d1a0ba94f8fb2</t>
  </si>
  <si>
    <t>19.010.002</t>
  </si>
  <si>
    <t>05.01.XX</t>
  </si>
  <si>
    <t>???</t>
  </si>
  <si>
    <t>5B8E1E2</t>
  </si>
  <si>
    <t>002.030.030</t>
  </si>
  <si>
    <t>019.040.001</t>
  </si>
  <si>
    <t>04.00.56</t>
  </si>
  <si>
    <t>05.03.51</t>
  </si>
  <si>
    <t xml:space="preserve">bbeb4a6d9be174eaee7dfecf28d406d6  </t>
  </si>
  <si>
    <t>https://nexus-dflash.internal.draexlmaier.com/repository/dflash-hosted/SW_Container/3-03898_BMW_GEN6_Ladedose_und_Ladepfad/P_2226_NACS/IC301_V/05.03.51/IC301_V-05.03.51.zip</t>
  </si>
  <si>
    <t>050105</t>
  </si>
  <si>
    <t>C2.0-5</t>
  </si>
  <si>
    <t>25-40</t>
  </si>
  <si>
    <t>C2.1-7</t>
  </si>
  <si>
    <t>5B8B580</t>
  </si>
  <si>
    <t xml:space="preserve">05.04.51                  </t>
  </si>
  <si>
    <t>05.04.51</t>
  </si>
  <si>
    <t>ED?</t>
  </si>
  <si>
    <t>missing</t>
  </si>
  <si>
    <t>019.060.002</t>
  </si>
  <si>
    <t>04.00.57</t>
  </si>
  <si>
    <t>25.18.52</t>
  </si>
  <si>
    <t>D1.1-4</t>
  </si>
  <si>
    <t>019.040.003</t>
  </si>
  <si>
    <t>15.10.2025</t>
  </si>
  <si>
    <t>abgl. mit SNr Liste V62</t>
  </si>
  <si>
    <t>63727f368d3ff5b15b2009b3e150efa7</t>
  </si>
  <si>
    <t>C2.5-4</t>
  </si>
  <si>
    <t>TW-JP XNF C2.3-4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</si>
</sst>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Creation date: &quot;\ \ dd/mm/yyyy"/>
    <numFmt numFmtId="165" formatCode="&quot;Verification date: &quot;\ dd/mm/yyyy"/>
    <numFmt numFmtId="166" formatCode="&quot;Approval date: &quot;\ dd/mm/yyyy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color theme="1" tint="0.34998626667073579"/>
      <name val="Segoe UI Semibold"/>
      <family val="2"/>
    </font>
    <font>
      <b/>
      <sz val="14"/>
      <color theme="1" tint="0.34998626667073579"/>
      <name val="Segoe UI Semibold"/>
      <family val="2"/>
    </font>
    <font>
      <b/>
      <sz val="14"/>
      <color theme="3" tint="-0.249977111117893"/>
      <name val="Segoe UI Semibold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0"/>
      <name val="Arial"/>
      <family val="2"/>
    </font>
    <font>
      <sz val="11"/>
      <name val="Calibri"/>
      <family val="2"/>
      <scheme val="minor"/>
    </font>
    <font>
      <sz val="8"/>
      <color theme="1"/>
      <name val="Arial Narrow"/>
      <family val="2"/>
    </font>
    <font>
      <i/>
      <sz val="10"/>
      <color theme="1"/>
      <name val="Arial"/>
      <family val="2"/>
    </font>
    <font>
      <sz val="8"/>
      <color rgb="FF0000FF"/>
      <name val="Arial Narrow"/>
      <family val="2"/>
    </font>
    <font>
      <sz val="20"/>
      <color theme="1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i/>
      <sz val="11"/>
      <name val="Arial"/>
      <family val="2"/>
    </font>
    <font>
      <sz val="11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7" fillId="0" borderId="0"/>
    <xf numFmtId="0" fontId="16" fillId="0" borderId="0" applyNumberFormat="0" applyFill="0" applyBorder="0" applyAlignment="0" applyProtection="0"/>
  </cellStyleXfs>
  <cellXfs count="166">
    <xf numFmtId="0" fontId="0" fillId="0" borderId="0" xfId="0"/>
    <xf numFmtId="0" fontId="1" fillId="3" borderId="0" xfId="1" applyFill="1"/>
    <xf numFmtId="0" fontId="1" fillId="3" borderId="0" xfId="1" applyFill="1" applyAlignment="1">
      <alignment vertical="center"/>
    </xf>
    <xf numFmtId="0" fontId="1" fillId="0" borderId="0" xfId="1"/>
    <xf numFmtId="0" fontId="2" fillId="0" borderId="0" xfId="1" applyFont="1"/>
    <xf numFmtId="0" fontId="6" fillId="0" borderId="0" xfId="1" applyFont="1" applyAlignment="1">
      <alignment wrapText="1"/>
    </xf>
    <xf numFmtId="0" fontId="1" fillId="0" borderId="0" xfId="1" applyAlignment="1">
      <alignment vertical="center"/>
    </xf>
    <xf numFmtId="0" fontId="6" fillId="0" borderId="11" xfId="1" applyFont="1" applyBorder="1" applyAlignment="1">
      <alignment wrapText="1"/>
    </xf>
    <xf numFmtId="0" fontId="0" fillId="3" borderId="0" xfId="0" applyFill="1"/>
    <xf numFmtId="0" fontId="6" fillId="0" borderId="0" xfId="1" applyFont="1" applyAlignment="1">
      <alignment horizontal="center" wrapText="1"/>
    </xf>
    <xf numFmtId="0" fontId="1" fillId="0" borderId="0" xfId="1" applyAlignment="1">
      <alignment vertical="top" wrapText="1"/>
    </xf>
    <xf numFmtId="0" fontId="6" fillId="0" borderId="11" xfId="1" applyFont="1" applyBorder="1" applyAlignment="1">
      <alignment horizontal="center" wrapText="1"/>
    </xf>
    <xf numFmtId="0" fontId="1" fillId="2" borderId="13" xfId="1" applyFill="1" applyBorder="1" applyAlignment="1">
      <alignment vertical="center"/>
    </xf>
    <xf numFmtId="0" fontId="8" fillId="0" borderId="0" xfId="2" applyFont="1"/>
    <xf numFmtId="49" fontId="8" fillId="0" borderId="0" xfId="2" applyNumberFormat="1" applyFont="1"/>
    <xf numFmtId="0" fontId="10" fillId="5" borderId="11" xfId="0" applyFont="1" applyFill="1" applyBorder="1"/>
    <xf numFmtId="0" fontId="0" fillId="0" borderId="11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5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1" fillId="0" borderId="0" xfId="2" applyFont="1"/>
    <xf numFmtId="49" fontId="1" fillId="0" borderId="0" xfId="2" applyNumberFormat="1" applyFont="1"/>
    <xf numFmtId="49" fontId="0" fillId="0" borderId="11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2" fillId="0" borderId="11" xfId="2" applyFont="1" applyBorder="1" applyAlignment="1">
      <alignment horizontal="center" vertical="center"/>
    </xf>
    <xf numFmtId="0" fontId="12" fillId="0" borderId="11" xfId="2" applyFont="1" applyBorder="1" applyAlignment="1">
      <alignment horizontal="left" vertical="center"/>
    </xf>
    <xf numFmtId="0" fontId="1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14" fontId="12" fillId="0" borderId="11" xfId="2" applyNumberFormat="1" applyFont="1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wrapText="1"/>
    </xf>
    <xf numFmtId="0" fontId="12" fillId="6" borderId="19" xfId="2" applyFont="1" applyFill="1" applyBorder="1" applyAlignment="1">
      <alignment horizontal="center" vertical="center"/>
    </xf>
    <xf numFmtId="0" fontId="1" fillId="6" borderId="19" xfId="2" applyFont="1" applyFill="1" applyBorder="1" applyAlignment="1">
      <alignment vertical="center"/>
    </xf>
    <xf numFmtId="0" fontId="1" fillId="6" borderId="20" xfId="2" applyFont="1" applyFill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" fillId="6" borderId="19" xfId="2" quotePrefix="1" applyFont="1" applyFill="1" applyBorder="1" applyAlignment="1">
      <alignment horizontal="center" vertical="center"/>
    </xf>
    <xf numFmtId="16" fontId="6" fillId="0" borderId="11" xfId="1" quotePrefix="1" applyNumberFormat="1" applyFont="1" applyBorder="1" applyAlignment="1">
      <alignment wrapText="1"/>
    </xf>
    <xf numFmtId="0" fontId="1" fillId="6" borderId="19" xfId="2" applyFont="1" applyFill="1" applyBorder="1" applyAlignment="1">
      <alignment horizontal="center" vertical="center"/>
    </xf>
    <xf numFmtId="0" fontId="9" fillId="5" borderId="21" xfId="2" applyFont="1" applyFill="1" applyBorder="1" applyAlignment="1">
      <alignment horizontal="center" wrapText="1"/>
    </xf>
    <xf numFmtId="0" fontId="9" fillId="5" borderId="21" xfId="2" applyFont="1" applyFill="1" applyBorder="1" applyAlignment="1">
      <alignment horizontal="center"/>
    </xf>
    <xf numFmtId="49" fontId="6" fillId="7" borderId="0" xfId="2" applyNumberFormat="1" applyFont="1" applyFill="1" applyAlignment="1">
      <alignment horizontal="center"/>
    </xf>
    <xf numFmtId="0" fontId="9" fillId="7" borderId="21" xfId="2" applyFont="1" applyFill="1" applyBorder="1" applyAlignment="1">
      <alignment horizontal="center"/>
    </xf>
    <xf numFmtId="0" fontId="9" fillId="7" borderId="21" xfId="2" applyFont="1" applyFill="1" applyBorder="1" applyAlignment="1">
      <alignment horizontal="center" wrapText="1"/>
    </xf>
    <xf numFmtId="0" fontId="9" fillId="3" borderId="21" xfId="2" applyFont="1" applyFill="1" applyBorder="1" applyAlignment="1">
      <alignment horizontal="center"/>
    </xf>
    <xf numFmtId="0" fontId="9" fillId="3" borderId="0" xfId="2" applyFont="1" applyFill="1"/>
    <xf numFmtId="0" fontId="9" fillId="5" borderId="24" xfId="2" applyFont="1" applyFill="1" applyBorder="1" applyAlignment="1">
      <alignment horizontal="center" wrapText="1"/>
    </xf>
    <xf numFmtId="0" fontId="9" fillId="5" borderId="25" xfId="2" applyFont="1" applyFill="1" applyBorder="1" applyAlignment="1">
      <alignment horizontal="center" wrapText="1"/>
    </xf>
    <xf numFmtId="0" fontId="12" fillId="8" borderId="11" xfId="2" applyFont="1" applyFill="1" applyBorder="1" applyAlignment="1">
      <alignment horizontal="center" vertical="center"/>
    </xf>
    <xf numFmtId="0" fontId="12" fillId="8" borderId="21" xfId="2" applyFont="1" applyFill="1" applyBorder="1" applyAlignment="1">
      <alignment horizontal="center" vertical="center"/>
    </xf>
    <xf numFmtId="0" fontId="12" fillId="8" borderId="11" xfId="2" quotePrefix="1" applyFont="1" applyFill="1" applyBorder="1" applyAlignment="1">
      <alignment horizontal="center" vertical="center"/>
    </xf>
    <xf numFmtId="0" fontId="12" fillId="8" borderId="11" xfId="2" applyFont="1" applyFill="1" applyBorder="1" applyAlignment="1">
      <alignment horizontal="center" vertical="center" wrapText="1"/>
    </xf>
    <xf numFmtId="0" fontId="12" fillId="0" borderId="11" xfId="2" applyFont="1" applyBorder="1" applyAlignment="1">
      <alignment horizontal="left" vertical="center" wrapText="1"/>
    </xf>
    <xf numFmtId="0" fontId="12" fillId="9" borderId="11" xfId="2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2" fillId="8" borderId="16" xfId="2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12" fillId="0" borderId="11" xfId="2" quotePrefix="1" applyFont="1" applyBorder="1" applyAlignment="1">
      <alignment horizontal="center" vertical="center"/>
    </xf>
    <xf numFmtId="0" fontId="17" fillId="0" borderId="0" xfId="2" applyFont="1" applyAlignment="1">
      <alignment vertical="center"/>
    </xf>
    <xf numFmtId="0" fontId="0" fillId="0" borderId="0" xfId="0" quotePrefix="1" applyAlignment="1">
      <alignment wrapText="1"/>
    </xf>
    <xf numFmtId="0" fontId="1" fillId="0" borderId="11" xfId="2" applyFont="1" applyBorder="1" applyAlignment="1">
      <alignment horizontal="center" vertical="center"/>
    </xf>
    <xf numFmtId="0" fontId="0" fillId="10" borderId="11" xfId="0" applyFill="1" applyBorder="1" applyAlignment="1">
      <alignment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4" xfId="0" applyFill="1" applyBorder="1" applyAlignment="1">
      <alignment vertical="center"/>
    </xf>
    <xf numFmtId="0" fontId="0" fillId="10" borderId="26" xfId="0" applyFill="1" applyBorder="1" applyAlignment="1">
      <alignment vertical="center"/>
    </xf>
    <xf numFmtId="0" fontId="0" fillId="10" borderId="11" xfId="0" quotePrefix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49" fontId="18" fillId="0" borderId="11" xfId="0" quotePrefix="1" applyNumberFormat="1" applyFont="1" applyBorder="1" applyAlignment="1">
      <alignment horizontal="center" vertical="center" wrapText="1"/>
    </xf>
    <xf numFmtId="49" fontId="11" fillId="0" borderId="11" xfId="0" applyNumberFormat="1" applyFont="1" applyBorder="1" applyAlignment="1">
      <alignment horizontal="center" vertical="center" wrapText="1"/>
    </xf>
    <xf numFmtId="49" fontId="18" fillId="0" borderId="11" xfId="0" applyNumberFormat="1" applyFont="1" applyBorder="1" applyAlignment="1">
      <alignment horizontal="center" vertical="center" wrapText="1"/>
    </xf>
    <xf numFmtId="49" fontId="0" fillId="8" borderId="11" xfId="0" applyNumberFormat="1" applyFill="1" applyBorder="1" applyAlignment="1">
      <alignment horizontal="center" vertical="center" wrapText="1"/>
    </xf>
    <xf numFmtId="49" fontId="18" fillId="8" borderId="11" xfId="0" quotePrefix="1" applyNumberFormat="1" applyFont="1" applyFill="1" applyBorder="1" applyAlignment="1">
      <alignment horizontal="center" vertical="center" wrapText="1"/>
    </xf>
    <xf numFmtId="49" fontId="0" fillId="8" borderId="11" xfId="0" quotePrefix="1" applyNumberFormat="1" applyFill="1" applyBorder="1" applyAlignment="1">
      <alignment horizontal="center" vertical="center" wrapText="1"/>
    </xf>
    <xf numFmtId="0" fontId="19" fillId="0" borderId="11" xfId="2" applyFont="1" applyBorder="1" applyAlignment="1">
      <alignment horizontal="center" vertical="center"/>
    </xf>
    <xf numFmtId="0" fontId="20" fillId="0" borderId="11" xfId="2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6" fillId="10" borderId="11" xfId="3" applyFill="1" applyBorder="1" applyAlignment="1">
      <alignment vertical="center" wrapText="1"/>
    </xf>
    <xf numFmtId="16" fontId="22" fillId="0" borderId="0" xfId="0" quotePrefix="1" applyNumberFormat="1" applyFont="1"/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left" vertical="center" wrapText="1"/>
    </xf>
    <xf numFmtId="49" fontId="11" fillId="0" borderId="11" xfId="0" quotePrefix="1" applyNumberFormat="1" applyFont="1" applyBorder="1" applyAlignment="1">
      <alignment horizontal="center" vertical="center" wrapText="1"/>
    </xf>
    <xf numFmtId="0" fontId="11" fillId="0" borderId="11" xfId="0" quotePrefix="1" applyFont="1" applyBorder="1" applyAlignment="1">
      <alignment horizontal="center" vertical="center" wrapText="1"/>
    </xf>
    <xf numFmtId="0" fontId="23" fillId="0" borderId="11" xfId="2" applyFont="1" applyBorder="1" applyAlignment="1">
      <alignment horizontal="center" vertical="center"/>
    </xf>
    <xf numFmtId="0" fontId="24" fillId="0" borderId="11" xfId="2" applyFont="1" applyBorder="1" applyAlignment="1">
      <alignment horizontal="center" vertical="center"/>
    </xf>
    <xf numFmtId="0" fontId="0" fillId="0" borderId="11" xfId="0" quotePrefix="1" applyBorder="1" applyAlignment="1">
      <alignment horizontal="center" vertical="center" wrapText="1"/>
    </xf>
    <xf numFmtId="0" fontId="18" fillId="0" borderId="11" xfId="0" quotePrefix="1" applyFont="1" applyBorder="1" applyAlignment="1">
      <alignment horizontal="center" vertical="center" wrapText="1"/>
    </xf>
    <xf numFmtId="0" fontId="16" fillId="0" borderId="0" xfId="3" applyFill="1" applyAlignment="1">
      <alignment vertical="center"/>
    </xf>
    <xf numFmtId="0" fontId="7" fillId="0" borderId="0" xfId="2"/>
    <xf numFmtId="0" fontId="0" fillId="11" borderId="11" xfId="0" applyFill="1" applyBorder="1" applyAlignment="1">
      <alignment horizontal="center" vertical="center" wrapText="1"/>
    </xf>
    <xf numFmtId="0" fontId="16" fillId="0" borderId="0" xfId="3"/>
    <xf numFmtId="0" fontId="7" fillId="8" borderId="0" xfId="2" applyFill="1"/>
    <xf numFmtId="0" fontId="7" fillId="7" borderId="0" xfId="2" quotePrefix="1" applyFill="1"/>
    <xf numFmtId="0" fontId="7" fillId="7" borderId="0" xfId="2" applyFill="1"/>
    <xf numFmtId="0" fontId="7" fillId="12" borderId="0" xfId="2" applyFill="1"/>
    <xf numFmtId="0" fontId="7" fillId="13" borderId="0" xfId="2" applyFill="1"/>
    <xf numFmtId="0" fontId="7" fillId="14" borderId="0" xfId="2" applyFill="1"/>
    <xf numFmtId="0" fontId="7" fillId="15" borderId="0" xfId="2" applyFill="1"/>
    <xf numFmtId="49" fontId="18" fillId="11" borderId="11" xfId="0" applyNumberFormat="1" applyFont="1" applyFill="1" applyBorder="1" applyAlignment="1">
      <alignment horizontal="center" vertical="center" wrapText="1"/>
    </xf>
    <xf numFmtId="49" fontId="25" fillId="0" borderId="0" xfId="2" applyNumberFormat="1" applyFont="1"/>
    <xf numFmtId="0" fontId="25" fillId="0" borderId="0" xfId="2" applyFont="1"/>
    <xf numFmtId="49" fontId="0" fillId="0" borderId="11" xfId="0" quotePrefix="1" applyNumberFormat="1" applyBorder="1" applyAlignment="1">
      <alignment horizontal="center" vertical="center" wrapText="1"/>
    </xf>
    <xf numFmtId="0" fontId="26" fillId="0" borderId="0" xfId="2" applyFont="1" applyAlignment="1">
      <alignment horizontal="center"/>
    </xf>
    <xf numFmtId="49" fontId="12" fillId="8" borderId="11" xfId="2" applyNumberFormat="1" applyFont="1" applyFill="1" applyBorder="1" applyAlignment="1">
      <alignment horizontal="center" vertical="center" wrapText="1"/>
    </xf>
    <xf numFmtId="49" fontId="12" fillId="8" borderId="11" xfId="2" applyNumberFormat="1" applyFont="1" applyFill="1" applyBorder="1" applyAlignment="1">
      <alignment horizontal="center" vertical="center"/>
    </xf>
    <xf numFmtId="49" fontId="12" fillId="8" borderId="11" xfId="2" quotePrefix="1" applyNumberFormat="1" applyFont="1" applyFill="1" applyBorder="1" applyAlignment="1">
      <alignment horizontal="center" vertical="center"/>
    </xf>
    <xf numFmtId="0" fontId="12" fillId="0" borderId="11" xfId="2" applyFont="1" applyBorder="1" applyAlignment="1">
      <alignment horizontal="center" vertical="center" wrapText="1"/>
    </xf>
    <xf numFmtId="49" fontId="12" fillId="0" borderId="11" xfId="2" applyNumberFormat="1" applyFont="1" applyBorder="1" applyAlignment="1">
      <alignment horizontal="center" vertical="center" wrapText="1"/>
    </xf>
    <xf numFmtId="49" fontId="12" fillId="0" borderId="11" xfId="2" quotePrefix="1" applyNumberFormat="1" applyFont="1" applyBorder="1" applyAlignment="1">
      <alignment horizontal="center" vertical="center"/>
    </xf>
    <xf numFmtId="14" fontId="16" fillId="0" borderId="11" xfId="3" applyNumberFormat="1" applyFill="1" applyBorder="1" applyAlignment="1">
      <alignment horizontal="left" vertical="center"/>
    </xf>
    <xf numFmtId="49" fontId="12" fillId="0" borderId="11" xfId="2" applyNumberFormat="1" applyFont="1" applyBorder="1" applyAlignment="1">
      <alignment horizontal="center" vertical="center"/>
    </xf>
    <xf numFmtId="0" fontId="26" fillId="0" borderId="0" xfId="2" applyFont="1"/>
    <xf numFmtId="14" fontId="16" fillId="5" borderId="0" xfId="3" applyNumberFormat="1" applyFill="1" applyBorder="1" applyAlignment="1">
      <alignment horizontal="left" vertical="center"/>
    </xf>
    <xf numFmtId="0" fontId="12" fillId="5" borderId="0" xfId="2" applyFont="1" applyFill="1" applyAlignment="1">
      <alignment horizontal="center" vertical="center"/>
    </xf>
    <xf numFmtId="14" fontId="16" fillId="8" borderId="11" xfId="3" applyNumberFormat="1" applyFill="1" applyBorder="1" applyAlignment="1">
      <alignment horizontal="left" vertical="center"/>
    </xf>
    <xf numFmtId="0" fontId="0" fillId="13" borderId="11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 wrapText="1"/>
    </xf>
    <xf numFmtId="0" fontId="0" fillId="13" borderId="11" xfId="0" quotePrefix="1" applyFill="1" applyBorder="1" applyAlignment="1">
      <alignment horizontal="center" vertical="center" wrapText="1"/>
    </xf>
    <xf numFmtId="0" fontId="18" fillId="13" borderId="11" xfId="0" applyFont="1" applyFill="1" applyBorder="1" applyAlignment="1">
      <alignment horizontal="center" vertical="center" wrapText="1"/>
    </xf>
    <xf numFmtId="49" fontId="0" fillId="13" borderId="11" xfId="0" applyNumberFormat="1" applyFill="1" applyBorder="1" applyAlignment="1">
      <alignment horizontal="center" vertical="center" wrapText="1"/>
    </xf>
    <xf numFmtId="0" fontId="16" fillId="13" borderId="0" xfId="3" applyFill="1"/>
    <xf numFmtId="0" fontId="1" fillId="13" borderId="0" xfId="2" applyFont="1" applyFill="1" applyAlignment="1">
      <alignment vertical="center"/>
    </xf>
    <xf numFmtId="49" fontId="18" fillId="13" borderId="11" xfId="0" quotePrefix="1" applyNumberFormat="1" applyFont="1" applyFill="1" applyBorder="1" applyAlignment="1">
      <alignment horizontal="center" vertical="center" wrapText="1"/>
    </xf>
    <xf numFmtId="49" fontId="18" fillId="13" borderId="11" xfId="0" applyNumberFormat="1" applyFont="1" applyFill="1" applyBorder="1" applyAlignment="1">
      <alignment horizontal="center" vertical="center" wrapText="1"/>
    </xf>
    <xf numFmtId="0" fontId="5" fillId="2" borderId="5" xfId="1" applyFont="1" applyFill="1" applyBorder="1" applyAlignment="1">
      <alignment horizontal="left" vertical="center"/>
    </xf>
    <xf numFmtId="0" fontId="5" fillId="2" borderId="3" xfId="1" applyFont="1" applyFill="1" applyBorder="1" applyAlignment="1">
      <alignment horizontal="left" vertical="center"/>
    </xf>
    <xf numFmtId="0" fontId="4" fillId="2" borderId="3" xfId="1" applyFont="1" applyFill="1" applyBorder="1" applyAlignment="1">
      <alignment horizontal="left" vertical="center"/>
    </xf>
    <xf numFmtId="0" fontId="4" fillId="2" borderId="4" xfId="1" applyFont="1" applyFill="1" applyBorder="1" applyAlignment="1">
      <alignment horizontal="left" vertical="center"/>
    </xf>
    <xf numFmtId="164" fontId="3" fillId="2" borderId="12" xfId="1" applyNumberFormat="1" applyFont="1" applyFill="1" applyBorder="1" applyAlignment="1">
      <alignment horizontal="left"/>
    </xf>
    <xf numFmtId="164" fontId="3" fillId="2" borderId="11" xfId="1" applyNumberFormat="1" applyFont="1" applyFill="1" applyBorder="1" applyAlignment="1">
      <alignment horizontal="left"/>
    </xf>
    <xf numFmtId="0" fontId="3" fillId="2" borderId="12" xfId="1" applyFont="1" applyFill="1" applyBorder="1" applyAlignment="1">
      <alignment horizontal="left"/>
    </xf>
    <xf numFmtId="0" fontId="3" fillId="2" borderId="11" xfId="1" applyFont="1" applyFill="1" applyBorder="1" applyAlignment="1">
      <alignment horizontal="left"/>
    </xf>
    <xf numFmtId="165" fontId="3" fillId="2" borderId="11" xfId="1" applyNumberFormat="1" applyFont="1" applyFill="1" applyBorder="1" applyAlignment="1">
      <alignment horizontal="left"/>
    </xf>
    <xf numFmtId="166" fontId="3" fillId="2" borderId="14" xfId="1" applyNumberFormat="1" applyFont="1" applyFill="1" applyBorder="1" applyAlignment="1">
      <alignment horizontal="left"/>
    </xf>
    <xf numFmtId="166" fontId="3" fillId="2" borderId="1" xfId="1" applyNumberFormat="1" applyFont="1" applyFill="1" applyBorder="1" applyAlignment="1">
      <alignment horizontal="left"/>
    </xf>
    <xf numFmtId="166" fontId="0" fillId="0" borderId="1" xfId="0" applyNumberFormat="1" applyBorder="1" applyAlignment="1">
      <alignment horizontal="left"/>
    </xf>
    <xf numFmtId="166" fontId="0" fillId="0" borderId="2" xfId="0" applyNumberFormat="1" applyBorder="1" applyAlignment="1">
      <alignment horizontal="left"/>
    </xf>
    <xf numFmtId="0" fontId="3" fillId="2" borderId="14" xfId="1" applyFont="1" applyFill="1" applyBorder="1" applyAlignment="1">
      <alignment horizontal="left"/>
    </xf>
    <xf numFmtId="0" fontId="3" fillId="2" borderId="1" xfId="1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3" fillId="2" borderId="6" xfId="1" applyFont="1" applyFill="1" applyBorder="1" applyAlignment="1">
      <alignment horizontal="left"/>
    </xf>
    <xf numFmtId="0" fontId="3" fillId="2" borderId="2" xfId="1" applyFont="1" applyFill="1" applyBorder="1" applyAlignment="1">
      <alignment horizontal="left"/>
    </xf>
    <xf numFmtId="49" fontId="1" fillId="4" borderId="9" xfId="1" applyNumberFormat="1" applyFill="1" applyBorder="1" applyAlignment="1">
      <alignment horizontal="left" vertical="center" wrapText="1"/>
    </xf>
    <xf numFmtId="49" fontId="1" fillId="4" borderId="7" xfId="1" applyNumberFormat="1" applyFill="1" applyBorder="1" applyAlignment="1">
      <alignment horizontal="left" vertical="center" wrapText="1"/>
    </xf>
    <xf numFmtId="49" fontId="1" fillId="4" borderId="8" xfId="1" applyNumberFormat="1" applyFill="1" applyBorder="1" applyAlignment="1">
      <alignment horizontal="left" vertical="center" wrapText="1"/>
    </xf>
    <xf numFmtId="0" fontId="1" fillId="2" borderId="9" xfId="1" applyFill="1" applyBorder="1" applyAlignment="1">
      <alignment horizontal="left" vertical="center"/>
    </xf>
    <xf numFmtId="0" fontId="1" fillId="2" borderId="8" xfId="1" applyFill="1" applyBorder="1" applyAlignment="1">
      <alignment horizontal="left" vertical="center"/>
    </xf>
    <xf numFmtId="0" fontId="1" fillId="4" borderId="9" xfId="1" applyFill="1" applyBorder="1" applyAlignment="1">
      <alignment horizontal="left" vertical="center" wrapText="1"/>
    </xf>
    <xf numFmtId="0" fontId="1" fillId="4" borderId="7" xfId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49" fontId="1" fillId="4" borderId="10" xfId="1" applyNumberFormat="1" applyFill="1" applyBorder="1" applyAlignment="1">
      <alignment horizontal="left" vertical="center" wrapText="1"/>
    </xf>
    <xf numFmtId="0" fontId="6" fillId="0" borderId="11" xfId="1" applyFont="1" applyBorder="1" applyAlignment="1">
      <alignment horizontal="center" wrapText="1"/>
    </xf>
    <xf numFmtId="0" fontId="1" fillId="0" borderId="11" xfId="1" applyBorder="1" applyAlignment="1">
      <alignment horizontal="left"/>
    </xf>
    <xf numFmtId="14" fontId="1" fillId="0" borderId="11" xfId="1" applyNumberFormat="1" applyBorder="1" applyAlignment="1">
      <alignment horizontal="left"/>
    </xf>
    <xf numFmtId="16" fontId="1" fillId="0" borderId="11" xfId="1" quotePrefix="1" applyNumberFormat="1" applyBorder="1" applyAlignment="1">
      <alignment horizontal="left"/>
    </xf>
    <xf numFmtId="49" fontId="9" fillId="5" borderId="0" xfId="2" applyNumberFormat="1" applyFont="1" applyFill="1" applyAlignment="1">
      <alignment horizontal="center"/>
    </xf>
    <xf numFmtId="49" fontId="9" fillId="5" borderId="22" xfId="2" applyNumberFormat="1" applyFont="1" applyFill="1" applyBorder="1" applyAlignment="1">
      <alignment horizontal="center"/>
    </xf>
    <xf numFmtId="0" fontId="9" fillId="7" borderId="23" xfId="2" applyFont="1" applyFill="1" applyBorder="1" applyAlignment="1">
      <alignment horizontal="center"/>
    </xf>
    <xf numFmtId="0" fontId="9" fillId="7" borderId="22" xfId="2" applyFont="1" applyFill="1" applyBorder="1" applyAlignment="1">
      <alignment horizontal="center"/>
    </xf>
    <xf numFmtId="0" fontId="0" fillId="0" borderId="2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6" fillId="6" borderId="17" xfId="2" applyFont="1" applyFill="1" applyBorder="1" applyAlignment="1">
      <alignment horizontal="left" vertical="center"/>
    </xf>
    <xf numFmtId="0" fontId="6" fillId="6" borderId="18" xfId="2" applyFont="1" applyFill="1" applyBorder="1" applyAlignment="1">
      <alignment horizontal="left" vertical="center"/>
    </xf>
  </cellXfs>
  <cellStyles count="4">
    <cellStyle name="Link" xfId="3" builtinId="8"/>
    <cellStyle name="Normal 2" xfId="1" xr:uid="{00000000-0005-0000-0000-000001000000}"/>
    <cellStyle name="Standard" xfId="0" builtinId="0"/>
    <cellStyle name="Standard 2" xfId="2" xr:uid="{747EBFDC-9CCF-40A3-A317-3664E4AACB3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232834</xdr:colOff>
      <xdr:row>0</xdr:row>
      <xdr:rowOff>0</xdr:rowOff>
    </xdr:from>
    <xdr:to>
      <xdr:col>16</xdr:col>
      <xdr:colOff>369891</xdr:colOff>
      <xdr:row>1</xdr:row>
      <xdr:rowOff>95250</xdr:rowOff>
    </xdr:to>
    <xdr:pic>
      <xdr:nvPicPr>
        <xdr:cNvPr id="2" name="1 Imagen" descr="DRX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3001" y="0"/>
          <a:ext cx="905407" cy="6138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8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6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9" Type="http://schemas.openxmlformats.org/officeDocument/2006/relationships/hyperlink" Target="https://nexus-dflash.internal.draexlmaier.com/repository/dflash-hosted/SW_Container/3-03898_BMW_GEN6_Ladedose_und_Ladepfad/P_2226_NACS/IC301_V/05.03.51/IC301_V-05.03.51.zip" TargetMode="External"/><Relationship Id="rId21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4" Type="http://schemas.openxmlformats.org/officeDocument/2006/relationships/hyperlink" Target="https://nexus-dflash.internal.draexlmaier.com/repository/dflash-hosted/SW_Container/3-03898_BMW_GEN6_Ladedose_und_Ladepfad/P_2226_NACS/IC301_V/05.02.52/IC301_V-05.02.52.zip" TargetMode="External"/><Relationship Id="rId42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7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" Type="http://schemas.openxmlformats.org/officeDocument/2006/relationships/hyperlink" Target="https://nexus-dflash.internal.draexlmaier.com/repository/dflash-hosted/SW_Container/3-03898_BMW_GEN6_Ladedose_und_Ladepfad/P_2226_Classic/IC301_V/04.01.07/IC301_V-04.01.07.zip" TargetMode="External"/><Relationship Id="rId16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9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" Type="http://schemas.openxmlformats.org/officeDocument/2006/relationships/hyperlink" Target="https://nexus-dflash.internal.draexlmaier.com/repository/dflash-hosted/SW_Container/3-03898_BMW_GEN6_Ladedose_und_Ladepfad/P_2226_Classic/IC301_V/04.01.07/IC301_V-04.01.07.zip" TargetMode="External"/><Relationship Id="rId6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1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4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2" Type="http://schemas.openxmlformats.org/officeDocument/2006/relationships/hyperlink" Target="https://nexus-dflash.internal.draexlmaier.com/repository/dflash-hosted/SW_Container/3-03898_BMW_GEN6_Ladedose_und_Ladepfad/P_2226_NACS/IC301_V/05.01.50/IC301_V-05.01.50.zip" TargetMode="External"/><Relationship Id="rId37" Type="http://schemas.openxmlformats.org/officeDocument/2006/relationships/hyperlink" Target="https://nexus-dflash.internal.draexlmaier.com/repository/dflash-hosted/SW_Container/3-03898_BMW_GEN6_Ladedose_und_Ladepfad/P_2226_NACS/IC301_V/05.00.51/IC301_V-05.00.51.zip" TargetMode="External"/><Relationship Id="rId40" Type="http://schemas.openxmlformats.org/officeDocument/2006/relationships/hyperlink" Target="https://nexus-dflash.internal.draexlmaier.com/repository/dflash-hosted/SW_Container/3-03898_BMW_GEN6_Ladedose_und_Ladepfad/P_2226_NACS/IC301_V/05.03.51/IC301_V-05.03.51.zip" TargetMode="External"/><Relationship Id="rId45" Type="http://schemas.openxmlformats.org/officeDocument/2006/relationships/comments" Target="../comments1.xml"/><Relationship Id="rId5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5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3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8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6" Type="http://schemas.openxmlformats.org/officeDocument/2006/relationships/hyperlink" Target="https://nexus-dflash.internal.draexlmaier.com/repository/dflash-hosted/SW_Container/3-03898_BMW_GEN6_Ladedose_und_Ladepfad/P_2226_NACS/IC301_V/05.00.51/IC301_V-05.00.51.zip" TargetMode="External"/><Relationship Id="rId10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9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1" Type="http://schemas.openxmlformats.org/officeDocument/2006/relationships/hyperlink" Target="https://nexus-dflash.internal.draexlmaier.com/repository/dflash-hosted/SW_Container/3-03898_BMW_GEN6_Ladedose_und_Ladepfad/P_2226_NACS/IC301_V/05.02.52/IC301_V-05.02.52.zip" TargetMode="External"/><Relationship Id="rId44" Type="http://schemas.openxmlformats.org/officeDocument/2006/relationships/vmlDrawing" Target="../drawings/vmlDrawing1.vml"/><Relationship Id="rId4" Type="http://schemas.openxmlformats.org/officeDocument/2006/relationships/hyperlink" Target="https://nexus-dflash.internal.draexlmaier.com/repository/dflash-hosted/SW_Container/3-03898_BMW_GEN6_Ladedose_und_Ladepfad/P_2226_Classic/IC301_V/04.01.07/IC301_V-04.01.07.zip" TargetMode="External"/><Relationship Id="rId9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4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2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7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0" Type="http://schemas.openxmlformats.org/officeDocument/2006/relationships/hyperlink" Target="https://nexus-dflash.internal.draexlmaier.com/repository/dflash-hosted/SW_Container/3-03898_BMW_GEN6_Ladedose_und_Ladepfad/P_2226_NACS/IC301_V/05.01.50/IC301_V-05.01.50.zip" TargetMode="External"/><Relationship Id="rId35" Type="http://schemas.openxmlformats.org/officeDocument/2006/relationships/hyperlink" Target="https://nexus-dflash.internal.draexlmaier.com/repository/dflash-hosted/SW_Container/3-03898_BMW_GEN6_Ladedose_und_Ladepfad/P_2226_NACS/IC301_V/05.02.52/IC301_V-05.02.52.zip" TargetMode="External"/><Relationship Id="rId43" Type="http://schemas.openxmlformats.org/officeDocument/2006/relationships/printerSettings" Target="../printerSettings/printerSettings2.bin"/><Relationship Id="rId8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" Type="http://schemas.openxmlformats.org/officeDocument/2006/relationships/hyperlink" Target="https://nexus-dflash.internal.draexlmaier.com/repository/dflash-hosted/SW_Container/3-03898_BMW_GEN6_Ladedose_und_Ladepfad/P_2226_Classic/IC301_V/04.01.07/IC301_V-04.01.07.zip" TargetMode="External"/><Relationship Id="rId12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17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25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33" Type="http://schemas.openxmlformats.org/officeDocument/2006/relationships/hyperlink" Target="https://nexus-dflash.internal.draexlmaier.com/repository/dflash-hosted/SW_Container/3-03898_BMW_GEN6_Ladedose_und_Ladepfad/P_2226_NACS/IC301_V/05.02.52/IC301_V-05.02.52.zip" TargetMode="External"/><Relationship Id="rId38" Type="http://schemas.openxmlformats.org/officeDocument/2006/relationships/hyperlink" Target="https://nexus-dflash.internal.draexlmaier.com/repository/dflash-hosted/SW_Container/3-03898_BMW_GEN6_Ladedose_und_Ladepfad/P_2226_NACS/IC301_V/05.02.52/IC301_V-05.02.52.zip" TargetMode="External"/><Relationship Id="rId20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Relationship Id="rId41" Type="http://schemas.openxmlformats.org/officeDocument/2006/relationships/hyperlink" Target="https://nexus-dflash.internal.draexlmaier.com/repository/dflash-hosted/SW_Container/3-03898_BMW_GEN6_Ladedose_und_Ladepfad/P_2226_Classic/IC301_V/04.02.01/IC301_V-04.02.01.zi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nexus-dflash.internal.draexlmaier.com/repository/dfalsh-hosted/SW_Container/09-03321%20&#8230;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nexus-dflash.internal.draexlmaier.com/repository/dfalsh-hosted/SW_Container/09-03321%20&#8230;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S48"/>
  <sheetViews>
    <sheetView zoomScale="90" zoomScaleNormal="90" workbookViewId="0">
      <selection activeCell="F21" sqref="F21"/>
    </sheetView>
  </sheetViews>
  <sheetFormatPr baseColWidth="10" defaultColWidth="11.42578125" defaultRowHeight="15" x14ac:dyDescent="0.25"/>
  <cols>
    <col min="1" max="1" width="6" style="8" customWidth="1"/>
    <col min="18" max="16384" width="11.42578125" style="8"/>
  </cols>
  <sheetData>
    <row r="1" spans="2:19" ht="40.5" customHeight="1" x14ac:dyDescent="0.25">
      <c r="B1" s="124" t="s">
        <v>0</v>
      </c>
      <c r="C1" s="125"/>
      <c r="D1" s="125"/>
      <c r="E1" s="125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7"/>
      <c r="R1" s="1"/>
      <c r="S1" s="1"/>
    </row>
    <row r="2" spans="2:19" x14ac:dyDescent="0.25">
      <c r="B2" s="128" t="e">
        <f ca="1" xml:space="preserve"> IF(CreatedOn() = 0, "Created On:",CreatedOn())</f>
        <v>#NAME?</v>
      </c>
      <c r="C2" s="129"/>
      <c r="D2" s="129"/>
      <c r="E2" s="129"/>
      <c r="F2" s="132" t="e">
        <f ca="1">IF(_xlfn.SINGLE(PreinspectedOn()) = 0, "Verification date:", _xlfn.SINGLE(PreinspectedOn()))</f>
        <v>#NAME?</v>
      </c>
      <c r="G2" s="132"/>
      <c r="H2" s="132"/>
      <c r="I2" s="132"/>
      <c r="J2" s="133" t="e">
        <f ca="1" xml:space="preserve"> IF(ApprovedOn() = 0, "Approval date:",ApprovedOn())</f>
        <v>#NAME?</v>
      </c>
      <c r="K2" s="134"/>
      <c r="L2" s="134"/>
      <c r="M2" s="134"/>
      <c r="N2" s="135"/>
      <c r="O2" s="135"/>
      <c r="P2" s="135"/>
      <c r="Q2" s="136"/>
      <c r="R2" s="1"/>
      <c r="S2" s="1"/>
    </row>
    <row r="3" spans="2:19" x14ac:dyDescent="0.25">
      <c r="B3" s="130" t="e">
        <f ca="1">"Creator: " &amp; _xlfn.SINGLE(Creator())</f>
        <v>#NAME?</v>
      </c>
      <c r="C3" s="131"/>
      <c r="D3" s="131"/>
      <c r="E3" s="131"/>
      <c r="F3" s="131" t="e">
        <f ca="1">"Verifier: " &amp; _xlfn.SINGLE(Preinspector())</f>
        <v>#NAME?</v>
      </c>
      <c r="G3" s="131"/>
      <c r="H3" s="131"/>
      <c r="I3" s="131"/>
      <c r="J3" s="137" t="e">
        <f ca="1">"Approver: " &amp; _xlfn.SINGLE(Approver())</f>
        <v>#NAME?</v>
      </c>
      <c r="K3" s="138"/>
      <c r="L3" s="138"/>
      <c r="M3" s="138"/>
      <c r="N3" s="139"/>
      <c r="O3" s="139"/>
      <c r="P3" s="139"/>
      <c r="Q3" s="140"/>
      <c r="R3" s="1"/>
      <c r="S3" s="1"/>
    </row>
    <row r="4" spans="2:19" x14ac:dyDescent="0.25">
      <c r="B4" s="130" t="e">
        <f ca="1">"Area of validity: " &amp; _xlfn.SINGLE(AreaOfValidity())</f>
        <v>#NAME?</v>
      </c>
      <c r="C4" s="131"/>
      <c r="D4" s="131"/>
      <c r="E4" s="131"/>
      <c r="F4" s="131" t="e">
        <f ca="1" xml:space="preserve"> "Version: " &amp; _xlfn.SINGLE(Version())</f>
        <v>#NAME?</v>
      </c>
      <c r="G4" s="131"/>
      <c r="H4" s="131"/>
      <c r="I4" s="131"/>
      <c r="J4" s="137" t="e">
        <f ca="1">"Main Process: " &amp;MainProcess()</f>
        <v>#NAME?</v>
      </c>
      <c r="K4" s="138"/>
      <c r="L4" s="138"/>
      <c r="M4" s="138"/>
      <c r="N4" s="139"/>
      <c r="O4" s="139"/>
      <c r="P4" s="139"/>
      <c r="Q4" s="140"/>
      <c r="R4" s="1"/>
      <c r="S4" s="1"/>
    </row>
    <row r="5" spans="2:19" x14ac:dyDescent="0.25">
      <c r="B5" s="130" t="e">
        <f ca="1">"Master title: " &amp; _xlfn.SINGLE(MasterTitle())</f>
        <v>#NAME?</v>
      </c>
      <c r="C5" s="131"/>
      <c r="D5" s="131"/>
      <c r="E5" s="131"/>
      <c r="F5" s="131" t="e">
        <f ca="1" xml:space="preserve"> "Master creator: " &amp; _xlfn.SINGLE(MasterCreator())</f>
        <v>#NAME?</v>
      </c>
      <c r="G5" s="131"/>
      <c r="H5" s="131"/>
      <c r="I5" s="131"/>
      <c r="J5" s="137" t="e">
        <f ca="1">"Master preinspector: " &amp;MasterPreinspector()</f>
        <v>#NAME?</v>
      </c>
      <c r="K5" s="138"/>
      <c r="L5" s="138"/>
      <c r="M5" s="138"/>
      <c r="N5" s="137" t="e">
        <f ca="1">"Master releaser: " &amp;MasterReleaser()</f>
        <v>#NAME?</v>
      </c>
      <c r="O5" s="138"/>
      <c r="P5" s="138"/>
      <c r="Q5" s="138"/>
      <c r="R5" s="1"/>
      <c r="S5" s="1"/>
    </row>
    <row r="6" spans="2:19" x14ac:dyDescent="0.25">
      <c r="B6" s="141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42"/>
      <c r="R6" s="1"/>
      <c r="S6" s="1"/>
    </row>
    <row r="7" spans="2:19" ht="52.7" customHeight="1" thickBot="1" x14ac:dyDescent="0.3">
      <c r="B7" s="12" t="s">
        <v>1</v>
      </c>
      <c r="C7" s="143" t="s">
        <v>2</v>
      </c>
      <c r="D7" s="144"/>
      <c r="E7" s="144"/>
      <c r="F7" s="145"/>
      <c r="G7" s="146" t="s">
        <v>3</v>
      </c>
      <c r="H7" s="147"/>
      <c r="I7" s="148" t="s">
        <v>4</v>
      </c>
      <c r="J7" s="149"/>
      <c r="K7" s="149"/>
      <c r="L7" s="149"/>
      <c r="M7" s="150" t="s">
        <v>5</v>
      </c>
      <c r="N7" s="151"/>
      <c r="O7" s="143" t="s">
        <v>6</v>
      </c>
      <c r="P7" s="144"/>
      <c r="Q7" s="152"/>
      <c r="R7" s="1"/>
      <c r="S7" s="1"/>
    </row>
    <row r="8" spans="2:19" x14ac:dyDescent="0.2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"/>
      <c r="S8" s="1"/>
    </row>
    <row r="9" spans="2:19" x14ac:dyDescent="0.25">
      <c r="B9" s="3"/>
      <c r="C9" s="3"/>
      <c r="D9" s="11" t="s">
        <v>7</v>
      </c>
      <c r="E9" s="153" t="s">
        <v>8</v>
      </c>
      <c r="F9" s="153"/>
      <c r="G9" s="153"/>
      <c r="H9" s="153"/>
      <c r="I9" s="153"/>
      <c r="J9" s="153"/>
      <c r="K9" s="153" t="s">
        <v>9</v>
      </c>
      <c r="L9" s="153"/>
      <c r="M9" s="153"/>
      <c r="N9" s="153" t="s">
        <v>10</v>
      </c>
      <c r="O9" s="153"/>
      <c r="P9" s="3"/>
      <c r="Q9" s="3"/>
      <c r="R9" s="1"/>
      <c r="S9" s="1"/>
    </row>
    <row r="10" spans="2:19" x14ac:dyDescent="0.25">
      <c r="B10" s="5"/>
      <c r="C10" s="6"/>
      <c r="D10" s="7" t="s">
        <v>11</v>
      </c>
      <c r="E10" s="154" t="s">
        <v>19</v>
      </c>
      <c r="F10" s="154"/>
      <c r="G10" s="154"/>
      <c r="H10" s="154"/>
      <c r="I10" s="154"/>
      <c r="J10" s="154"/>
      <c r="K10" s="154" t="s">
        <v>20</v>
      </c>
      <c r="L10" s="154"/>
      <c r="M10" s="154"/>
      <c r="N10" s="155">
        <v>45404</v>
      </c>
      <c r="O10" s="154"/>
      <c r="P10" s="3"/>
      <c r="Q10" s="3"/>
      <c r="R10" s="2"/>
      <c r="S10" s="2"/>
    </row>
    <row r="11" spans="2:19" x14ac:dyDescent="0.25">
      <c r="B11" s="5"/>
      <c r="C11" s="6"/>
      <c r="D11" s="36" t="s">
        <v>88</v>
      </c>
      <c r="E11" s="154" t="s">
        <v>56</v>
      </c>
      <c r="F11" s="154"/>
      <c r="G11" s="154"/>
      <c r="H11" s="154"/>
      <c r="I11" s="154"/>
      <c r="J11" s="154"/>
      <c r="K11" s="154" t="s">
        <v>20</v>
      </c>
      <c r="L11" s="154"/>
      <c r="M11" s="154"/>
      <c r="N11" s="156" t="s">
        <v>85</v>
      </c>
      <c r="O11" s="154"/>
      <c r="P11" s="3"/>
      <c r="Q11" s="3"/>
      <c r="R11" s="2"/>
      <c r="S11" s="2"/>
    </row>
    <row r="12" spans="2:19" x14ac:dyDescent="0.25">
      <c r="B12" s="5"/>
      <c r="C12" s="6"/>
      <c r="D12" s="7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3"/>
      <c r="Q12" s="3"/>
      <c r="R12" s="2"/>
      <c r="S12" s="2"/>
    </row>
    <row r="13" spans="2:19" x14ac:dyDescent="0.25">
      <c r="B13" s="5"/>
      <c r="C13" s="6"/>
      <c r="D13" s="7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3"/>
      <c r="Q13" s="3"/>
      <c r="R13" s="2"/>
      <c r="S13" s="2"/>
    </row>
    <row r="14" spans="2:19" x14ac:dyDescent="0.25">
      <c r="B14" s="5"/>
      <c r="C14" s="6"/>
      <c r="D14" s="7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3"/>
      <c r="Q14" s="3"/>
      <c r="R14" s="2"/>
      <c r="S14" s="2"/>
    </row>
    <row r="15" spans="2:19" x14ac:dyDescent="0.25">
      <c r="B15" s="5"/>
      <c r="C15" s="3"/>
      <c r="D15" s="7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3"/>
      <c r="Q15" s="3"/>
      <c r="R15" s="1"/>
      <c r="S15" s="1"/>
    </row>
    <row r="16" spans="2:19" x14ac:dyDescent="0.25">
      <c r="B16" s="5"/>
      <c r="C16" s="3"/>
      <c r="D16" s="5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"/>
      <c r="S16" s="1"/>
    </row>
    <row r="17" spans="2:19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1"/>
      <c r="S17" s="1"/>
    </row>
    <row r="18" spans="2:19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  <row r="19" spans="2:19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</row>
    <row r="20" spans="2:19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2:19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2:19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2:19" x14ac:dyDescent="0.25">
      <c r="B23" s="3"/>
      <c r="C23" s="9"/>
      <c r="D23" s="9"/>
      <c r="E23" s="9"/>
      <c r="F23" s="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2:19" x14ac:dyDescent="0.25">
      <c r="B24" s="3"/>
      <c r="C24" s="10"/>
      <c r="D24" s="10"/>
      <c r="E24" s="10"/>
      <c r="F24" s="1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2:19" x14ac:dyDescent="0.25">
      <c r="B25" s="3"/>
      <c r="C25" s="10"/>
      <c r="D25" s="10"/>
      <c r="E25" s="10"/>
      <c r="F25" s="10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2:19" x14ac:dyDescent="0.25">
      <c r="B26" s="3"/>
      <c r="C26" s="10"/>
      <c r="D26" s="10"/>
      <c r="E26" s="10"/>
      <c r="F26" s="1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2:19" x14ac:dyDescent="0.25">
      <c r="B27" s="3"/>
      <c r="C27" s="10"/>
      <c r="D27" s="10"/>
      <c r="E27" s="10"/>
      <c r="F27" s="10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2:19" x14ac:dyDescent="0.25">
      <c r="B28" s="3"/>
      <c r="C28" s="10"/>
      <c r="D28" s="10"/>
      <c r="E28" s="10"/>
      <c r="F28" s="1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2:19" x14ac:dyDescent="0.25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2:19" x14ac:dyDescent="0.25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2:19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2:19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2:17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2:17" x14ac:dyDescent="0.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2:17" x14ac:dyDescent="0.2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2:17" x14ac:dyDescent="0.25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2:17" x14ac:dyDescent="0.25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2:17" x14ac:dyDescent="0.25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2:17" x14ac:dyDescent="0.2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2:17" x14ac:dyDescent="0.2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4" spans="2:17" ht="15.75" x14ac:dyDescent="0.25">
      <c r="B44" s="3"/>
      <c r="C44" s="3"/>
      <c r="D44" s="3"/>
      <c r="E44" s="3"/>
      <c r="F44" s="3"/>
      <c r="G44" s="3"/>
      <c r="H44" s="3"/>
      <c r="I44" s="3"/>
      <c r="J44" s="4"/>
      <c r="K44" s="4"/>
      <c r="L44" s="4"/>
      <c r="M44" s="4"/>
      <c r="N44" s="4"/>
      <c r="O44" s="4"/>
      <c r="P44" s="4"/>
      <c r="Q44" s="4"/>
    </row>
    <row r="45" spans="2:17" x14ac:dyDescent="0.25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2:17" ht="15.75" x14ac:dyDescent="0.25">
      <c r="B46" s="3"/>
      <c r="C46" s="3"/>
      <c r="D46" s="3"/>
      <c r="E46" s="3"/>
      <c r="F46" s="3"/>
      <c r="G46" s="3"/>
      <c r="H46" s="3"/>
      <c r="I46" s="3"/>
      <c r="J46" s="4"/>
      <c r="K46" s="4"/>
      <c r="L46" s="4"/>
      <c r="M46" s="4"/>
      <c r="N46" s="4"/>
      <c r="O46" s="4"/>
      <c r="P46" s="4"/>
      <c r="Q46" s="4"/>
    </row>
    <row r="47" spans="2:17" x14ac:dyDescent="0.25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2:17" x14ac:dyDescent="0.25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</sheetData>
  <sheetProtection algorithmName="SHA-512" hashValue="y73WtZzHZGw8pIoofAe1e0QPlC2/mKKGnJX/5W2zThFtbEtXtUPZDn+3upUY24tErMtPcnDjvURM8tenBt44PA==" saltValue="nA76BnadVRz36PbyuSGXzw==" spinCount="100000" sheet="1" objects="1" scenarios="1"/>
  <protectedRanges>
    <protectedRange sqref="A8:XFD1048576 A7:G7 I7:XFD7" name="Rango1"/>
  </protectedRanges>
  <mergeCells count="41">
    <mergeCell ref="N15:O15"/>
    <mergeCell ref="N12:O12"/>
    <mergeCell ref="E13:J13"/>
    <mergeCell ref="K13:M13"/>
    <mergeCell ref="N13:O13"/>
    <mergeCell ref="E14:J14"/>
    <mergeCell ref="K14:M14"/>
    <mergeCell ref="N14:O14"/>
    <mergeCell ref="E12:J12"/>
    <mergeCell ref="K12:M12"/>
    <mergeCell ref="E15:J15"/>
    <mergeCell ref="K15:M15"/>
    <mergeCell ref="N9:O9"/>
    <mergeCell ref="K10:M10"/>
    <mergeCell ref="N10:O10"/>
    <mergeCell ref="E11:J11"/>
    <mergeCell ref="K11:M11"/>
    <mergeCell ref="N11:O11"/>
    <mergeCell ref="E9:J9"/>
    <mergeCell ref="E10:J10"/>
    <mergeCell ref="K9:M9"/>
    <mergeCell ref="B6:Q6"/>
    <mergeCell ref="B4:E4"/>
    <mergeCell ref="F4:I4"/>
    <mergeCell ref="J4:Q4"/>
    <mergeCell ref="C7:F7"/>
    <mergeCell ref="G7:H7"/>
    <mergeCell ref="I7:L7"/>
    <mergeCell ref="M7:N7"/>
    <mergeCell ref="O7:Q7"/>
    <mergeCell ref="B5:E5"/>
    <mergeCell ref="F5:I5"/>
    <mergeCell ref="J5:M5"/>
    <mergeCell ref="N5:Q5"/>
    <mergeCell ref="B1:Q1"/>
    <mergeCell ref="B2:E2"/>
    <mergeCell ref="B3:E3"/>
    <mergeCell ref="F2:I2"/>
    <mergeCell ref="F3:I3"/>
    <mergeCell ref="J2:Q2"/>
    <mergeCell ref="J3:Q3"/>
  </mergeCells>
  <pageMargins left="0.7" right="0.7" top="0.75" bottom="0.75" header="0.3" footer="0.3"/>
  <pageSetup paperSize="9" scale="71" orientation="landscape" r:id="rId1"/>
  <headerFooter>
    <oddFooter>&amp;L&amp;1#&amp;"Arial"&amp;7&amp;K808080Internal: All rights reserved. Distribution within the company, customer and partners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3BF32-C5B5-4BFD-A796-2749C7DDA725}">
  <sheetPr codeName="Tabelle5">
    <pageSetUpPr fitToPage="1"/>
  </sheetPr>
  <dimension ref="A1:CC32"/>
  <sheetViews>
    <sheetView tabSelected="1" zoomScale="115" zoomScaleNormal="115" workbookViewId="0">
      <pane xSplit="3" ySplit="4" topLeftCell="O5" activePane="bottomRight" state="frozen"/>
      <selection pane="topRight" activeCell="D1" sqref="D1"/>
      <selection pane="bottomLeft" activeCell="A5" sqref="A5"/>
      <selection pane="bottomRight" activeCell="S22" sqref="S22"/>
    </sheetView>
  </sheetViews>
  <sheetFormatPr baseColWidth="10" defaultColWidth="12.5703125" defaultRowHeight="14.25" x14ac:dyDescent="0.2"/>
  <cols>
    <col min="1" max="1" width="11.28515625" style="14" bestFit="1" customWidth="1"/>
    <col min="2" max="2" width="41.42578125" style="13" customWidth="1"/>
    <col min="3" max="3" width="26" style="13" customWidth="1"/>
    <col min="4" max="4" width="36" style="13" customWidth="1"/>
    <col min="5" max="5" width="14.42578125" style="13" customWidth="1"/>
    <col min="6" max="6" width="34.5703125" style="13" customWidth="1"/>
    <col min="7" max="7" width="21.85546875" style="13" customWidth="1"/>
    <col min="8" max="8" width="18.140625" style="13" customWidth="1"/>
    <col min="9" max="9" width="37.7109375" style="13" customWidth="1"/>
    <col min="10" max="10" width="17.140625" style="13" customWidth="1"/>
    <col min="11" max="11" width="15.85546875" style="13" customWidth="1"/>
    <col min="12" max="12" width="70.42578125" style="13" customWidth="1"/>
    <col min="13" max="13" width="49.85546875" style="13" customWidth="1"/>
    <col min="14" max="14" width="15" style="13" customWidth="1"/>
    <col min="15" max="15" width="85" style="13" customWidth="1"/>
    <col min="16" max="17" width="12.140625" style="13" bestFit="1" customWidth="1"/>
    <col min="18" max="21" width="12.140625" style="13" customWidth="1"/>
    <col min="22" max="22" width="12" style="13" bestFit="1" customWidth="1"/>
    <col min="23" max="26" width="12" style="13" customWidth="1"/>
    <col min="27" max="27" width="12" style="13" bestFit="1" customWidth="1"/>
    <col min="28" max="31" width="12" style="13" customWidth="1"/>
    <col min="32" max="32" width="12" style="13" bestFit="1" customWidth="1"/>
    <col min="33" max="37" width="12" style="13" customWidth="1"/>
    <col min="38" max="38" width="12.140625" style="13" bestFit="1" customWidth="1"/>
    <col min="39" max="42" width="12.140625" style="13" customWidth="1"/>
    <col min="43" max="43" width="12.140625" style="13" bestFit="1" customWidth="1"/>
    <col min="44" max="47" width="12.140625" style="13" customWidth="1"/>
    <col min="48" max="49" width="12.140625" style="13" bestFit="1" customWidth="1"/>
    <col min="50" max="53" width="12.140625" style="13" customWidth="1"/>
    <col min="54" max="54" width="13.7109375" style="13" bestFit="1" customWidth="1"/>
    <col min="55" max="58" width="13.7109375" style="13" customWidth="1"/>
    <col min="59" max="60" width="12.140625" style="13" bestFit="1" customWidth="1"/>
    <col min="61" max="67" width="12.140625" style="13" customWidth="1"/>
    <col min="68" max="16384" width="12.5703125" style="13"/>
  </cols>
  <sheetData>
    <row r="1" spans="1:81" ht="15" x14ac:dyDescent="0.2">
      <c r="A1" s="40" t="s">
        <v>89</v>
      </c>
      <c r="B1" s="13" t="s">
        <v>110</v>
      </c>
      <c r="M1" s="88" t="s">
        <v>354</v>
      </c>
      <c r="P1" s="75" t="s">
        <v>127</v>
      </c>
      <c r="Q1" s="75" t="s">
        <v>127</v>
      </c>
      <c r="R1" s="75" t="s">
        <v>127</v>
      </c>
      <c r="S1" s="75" t="s">
        <v>127</v>
      </c>
      <c r="T1" s="75" t="s">
        <v>127</v>
      </c>
      <c r="U1" s="75" t="s">
        <v>127</v>
      </c>
      <c r="V1" s="75" t="s">
        <v>177</v>
      </c>
      <c r="W1" s="75" t="s">
        <v>177</v>
      </c>
      <c r="X1" s="75" t="s">
        <v>177</v>
      </c>
      <c r="Y1" s="75" t="s">
        <v>177</v>
      </c>
      <c r="Z1" s="75" t="s">
        <v>177</v>
      </c>
      <c r="AA1" s="75" t="s">
        <v>178</v>
      </c>
      <c r="AB1" s="75" t="s">
        <v>178</v>
      </c>
      <c r="AC1" s="75" t="s">
        <v>178</v>
      </c>
      <c r="AD1" s="75" t="s">
        <v>178</v>
      </c>
      <c r="AE1" s="75" t="s">
        <v>178</v>
      </c>
      <c r="AF1" s="75" t="s">
        <v>124</v>
      </c>
      <c r="AG1" s="75" t="s">
        <v>124</v>
      </c>
      <c r="AH1" s="75" t="s">
        <v>124</v>
      </c>
      <c r="AI1" s="75" t="s">
        <v>124</v>
      </c>
      <c r="AJ1" s="75" t="s">
        <v>124</v>
      </c>
      <c r="AK1" s="75" t="s">
        <v>124</v>
      </c>
      <c r="AL1" s="75" t="s">
        <v>181</v>
      </c>
      <c r="AM1" s="75" t="s">
        <v>181</v>
      </c>
      <c r="AN1" s="75" t="s">
        <v>181</v>
      </c>
      <c r="AO1" s="75" t="s">
        <v>181</v>
      </c>
      <c r="AP1" s="75" t="s">
        <v>181</v>
      </c>
      <c r="AQ1" s="75" t="s">
        <v>182</v>
      </c>
      <c r="AR1" s="75" t="s">
        <v>182</v>
      </c>
      <c r="AS1" s="75" t="s">
        <v>182</v>
      </c>
      <c r="AT1" s="75" t="s">
        <v>182</v>
      </c>
      <c r="AU1" s="75" t="s">
        <v>182</v>
      </c>
      <c r="AV1" s="75" t="s">
        <v>147</v>
      </c>
      <c r="AW1" s="75" t="s">
        <v>147</v>
      </c>
      <c r="AX1" s="75" t="s">
        <v>147</v>
      </c>
      <c r="AY1" s="75" t="s">
        <v>147</v>
      </c>
      <c r="AZ1" s="75" t="s">
        <v>147</v>
      </c>
      <c r="BA1" s="75" t="s">
        <v>147</v>
      </c>
      <c r="BB1" s="75" t="s">
        <v>277</v>
      </c>
      <c r="BC1" s="75" t="s">
        <v>277</v>
      </c>
      <c r="BD1" s="75" t="s">
        <v>277</v>
      </c>
      <c r="BE1" s="75" t="s">
        <v>277</v>
      </c>
      <c r="BF1" s="75" t="s">
        <v>277</v>
      </c>
      <c r="BG1" s="75" t="s">
        <v>148</v>
      </c>
      <c r="BH1" s="75" t="s">
        <v>242</v>
      </c>
      <c r="BI1" s="75" t="s">
        <v>242</v>
      </c>
      <c r="BJ1" s="75" t="s">
        <v>242</v>
      </c>
      <c r="BK1" s="75" t="s">
        <v>280</v>
      </c>
      <c r="BL1" s="75" t="s">
        <v>280</v>
      </c>
      <c r="BM1" s="75" t="s">
        <v>280</v>
      </c>
      <c r="BN1" s="75" t="s">
        <v>280</v>
      </c>
      <c r="BO1" s="88" t="s">
        <v>282</v>
      </c>
      <c r="BP1" s="88" t="s">
        <v>282</v>
      </c>
      <c r="BQ1" s="88" t="s">
        <v>282</v>
      </c>
      <c r="BR1" s="88" t="s">
        <v>282</v>
      </c>
      <c r="BS1" s="88" t="s">
        <v>282</v>
      </c>
      <c r="BT1" s="88" t="s">
        <v>282</v>
      </c>
      <c r="BU1" s="88" t="s">
        <v>282</v>
      </c>
      <c r="BV1" s="88" t="s">
        <v>282</v>
      </c>
      <c r="BW1" s="88" t="s">
        <v>282</v>
      </c>
      <c r="BX1" s="88" t="s">
        <v>315</v>
      </c>
      <c r="BY1" s="88" t="s">
        <v>315</v>
      </c>
      <c r="BZ1" s="88" t="s">
        <v>315</v>
      </c>
      <c r="CA1" s="88" t="s">
        <v>315</v>
      </c>
      <c r="CB1" s="88" t="s">
        <v>315</v>
      </c>
      <c r="CC1" s="88" t="s">
        <v>315</v>
      </c>
    </row>
    <row r="2" spans="1:81" ht="15" x14ac:dyDescent="0.25">
      <c r="A2" s="157" t="s">
        <v>90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8"/>
      <c r="M2" s="159" t="s">
        <v>91</v>
      </c>
      <c r="N2" s="160"/>
      <c r="O2" s="44"/>
      <c r="P2" s="92" t="s">
        <v>260</v>
      </c>
      <c r="Q2" s="92" t="s">
        <v>260</v>
      </c>
      <c r="R2" s="92" t="s">
        <v>260</v>
      </c>
      <c r="S2" s="91" t="s">
        <v>251</v>
      </c>
      <c r="T2" s="91" t="s">
        <v>251</v>
      </c>
      <c r="U2" s="91" t="s">
        <v>251</v>
      </c>
      <c r="V2" s="92" t="s">
        <v>260</v>
      </c>
      <c r="W2" s="92" t="s">
        <v>260</v>
      </c>
      <c r="X2" s="91" t="s">
        <v>251</v>
      </c>
      <c r="Y2" s="91" t="s">
        <v>251</v>
      </c>
      <c r="Z2" s="91" t="s">
        <v>251</v>
      </c>
      <c r="AA2" s="92" t="s">
        <v>260</v>
      </c>
      <c r="AB2" s="92" t="s">
        <v>260</v>
      </c>
      <c r="AC2" s="91" t="s">
        <v>251</v>
      </c>
      <c r="AD2" s="91" t="s">
        <v>251</v>
      </c>
      <c r="AE2" s="91" t="s">
        <v>251</v>
      </c>
      <c r="AF2" s="92" t="s">
        <v>260</v>
      </c>
      <c r="AG2" s="92" t="s">
        <v>260</v>
      </c>
      <c r="AH2" s="92" t="s">
        <v>260</v>
      </c>
      <c r="AI2" s="92" t="s">
        <v>260</v>
      </c>
      <c r="AJ2" s="92" t="s">
        <v>260</v>
      </c>
      <c r="AK2" s="91" t="s">
        <v>251</v>
      </c>
      <c r="AL2" s="92" t="s">
        <v>260</v>
      </c>
      <c r="AM2" s="92" t="s">
        <v>260</v>
      </c>
      <c r="AN2" s="91" t="s">
        <v>251</v>
      </c>
      <c r="AO2" s="91" t="s">
        <v>251</v>
      </c>
      <c r="AP2" s="91" t="s">
        <v>251</v>
      </c>
      <c r="AQ2" s="92" t="s">
        <v>260</v>
      </c>
      <c r="AR2" s="92" t="s">
        <v>260</v>
      </c>
      <c r="AS2" s="91" t="s">
        <v>251</v>
      </c>
      <c r="AT2" s="91" t="s">
        <v>251</v>
      </c>
      <c r="AU2" s="91" t="s">
        <v>251</v>
      </c>
      <c r="AV2" s="92" t="s">
        <v>260</v>
      </c>
      <c r="AW2" s="92" t="s">
        <v>260</v>
      </c>
      <c r="AX2" s="92" t="s">
        <v>260</v>
      </c>
      <c r="AY2" s="91" t="s">
        <v>251</v>
      </c>
      <c r="AZ2" s="91" t="s">
        <v>251</v>
      </c>
      <c r="BA2" s="91" t="s">
        <v>251</v>
      </c>
      <c r="BB2" s="92" t="s">
        <v>260</v>
      </c>
      <c r="BC2" s="92" t="s">
        <v>260</v>
      </c>
      <c r="BD2" s="91" t="s">
        <v>251</v>
      </c>
      <c r="BE2" s="91" t="s">
        <v>251</v>
      </c>
      <c r="BF2" s="91" t="s">
        <v>251</v>
      </c>
      <c r="BG2" s="92" t="s">
        <v>260</v>
      </c>
      <c r="BH2" s="92" t="s">
        <v>260</v>
      </c>
      <c r="BI2" s="91" t="s">
        <v>251</v>
      </c>
      <c r="BJ2" s="91" t="s">
        <v>251</v>
      </c>
      <c r="BK2" s="93" t="s">
        <v>260</v>
      </c>
      <c r="BL2" s="91" t="s">
        <v>251</v>
      </c>
      <c r="BM2" s="91" t="s">
        <v>251</v>
      </c>
      <c r="BN2" s="91" t="s">
        <v>251</v>
      </c>
      <c r="BO2" s="96" t="s">
        <v>299</v>
      </c>
      <c r="BP2" s="94" t="s">
        <v>294</v>
      </c>
      <c r="BQ2" s="94" t="s">
        <v>293</v>
      </c>
      <c r="BR2" s="94" t="s">
        <v>294</v>
      </c>
      <c r="BS2" s="97" t="s">
        <v>251</v>
      </c>
      <c r="BT2" s="97" t="s">
        <v>251</v>
      </c>
      <c r="BU2" s="95" t="s">
        <v>301</v>
      </c>
      <c r="BV2" s="95" t="s">
        <v>338</v>
      </c>
      <c r="BW2" s="95" t="s">
        <v>297</v>
      </c>
      <c r="BX2" s="96" t="s">
        <v>299</v>
      </c>
      <c r="BY2" s="94" t="s">
        <v>294</v>
      </c>
      <c r="BZ2" s="94" t="s">
        <v>293</v>
      </c>
      <c r="CA2" s="97" t="s">
        <v>251</v>
      </c>
      <c r="CB2" s="97" t="s">
        <v>251</v>
      </c>
      <c r="CC2" s="97" t="s">
        <v>251</v>
      </c>
    </row>
    <row r="3" spans="1:81" ht="42" customHeight="1" x14ac:dyDescent="0.25">
      <c r="A3" s="38" t="s">
        <v>57</v>
      </c>
      <c r="B3" s="38" t="s">
        <v>76</v>
      </c>
      <c r="C3" s="38" t="s">
        <v>67</v>
      </c>
      <c r="D3" s="45" t="s">
        <v>66</v>
      </c>
      <c r="E3" s="38" t="s">
        <v>63</v>
      </c>
      <c r="F3" s="46" t="s">
        <v>54</v>
      </c>
      <c r="G3" s="38" t="s">
        <v>71</v>
      </c>
      <c r="H3" s="38" t="s">
        <v>72</v>
      </c>
      <c r="I3" s="39" t="s">
        <v>64</v>
      </c>
      <c r="J3" s="38" t="s">
        <v>73</v>
      </c>
      <c r="K3" s="38" t="s">
        <v>74</v>
      </c>
      <c r="L3" s="39" t="s">
        <v>92</v>
      </c>
      <c r="M3" s="41" t="s">
        <v>13</v>
      </c>
      <c r="N3" s="42" t="s">
        <v>65</v>
      </c>
      <c r="O3" s="43" t="s">
        <v>16</v>
      </c>
      <c r="P3" s="76" t="s">
        <v>128</v>
      </c>
      <c r="Q3" s="76" t="s">
        <v>125</v>
      </c>
      <c r="R3" s="76" t="s">
        <v>183</v>
      </c>
      <c r="S3" s="76" t="s">
        <v>252</v>
      </c>
      <c r="T3" s="76" t="s">
        <v>261</v>
      </c>
      <c r="U3" s="76" t="s">
        <v>348</v>
      </c>
      <c r="V3" s="76" t="s">
        <v>125</v>
      </c>
      <c r="W3" s="76" t="s">
        <v>183</v>
      </c>
      <c r="X3" s="115" t="s">
        <v>254</v>
      </c>
      <c r="Y3" s="76" t="s">
        <v>273</v>
      </c>
      <c r="Z3" s="76" t="s">
        <v>261</v>
      </c>
      <c r="AA3" s="76" t="s">
        <v>125</v>
      </c>
      <c r="AB3" s="76" t="s">
        <v>183</v>
      </c>
      <c r="AC3" s="115" t="s">
        <v>254</v>
      </c>
      <c r="AD3" s="76" t="s">
        <v>273</v>
      </c>
      <c r="AE3" s="76" t="s">
        <v>261</v>
      </c>
      <c r="AF3" s="76" t="s">
        <v>125</v>
      </c>
      <c r="AG3" s="76" t="s">
        <v>271</v>
      </c>
      <c r="AH3" s="76" t="s">
        <v>244</v>
      </c>
      <c r="AI3" s="76" t="s">
        <v>247</v>
      </c>
      <c r="AJ3" s="76" t="s">
        <v>269</v>
      </c>
      <c r="AK3" s="76" t="s">
        <v>248</v>
      </c>
      <c r="AL3" s="76" t="s">
        <v>183</v>
      </c>
      <c r="AM3" s="76" t="s">
        <v>259</v>
      </c>
      <c r="AN3" s="76" t="s">
        <v>254</v>
      </c>
      <c r="AO3" s="76" t="s">
        <v>273</v>
      </c>
      <c r="AP3" s="76" t="s">
        <v>261</v>
      </c>
      <c r="AQ3" s="76" t="s">
        <v>183</v>
      </c>
      <c r="AR3" s="76" t="s">
        <v>259</v>
      </c>
      <c r="AS3" s="115" t="s">
        <v>273</v>
      </c>
      <c r="AT3" s="76" t="s">
        <v>353</v>
      </c>
      <c r="AU3" s="76" t="s">
        <v>261</v>
      </c>
      <c r="AV3" s="76" t="s">
        <v>128</v>
      </c>
      <c r="AW3" s="76" t="s">
        <v>125</v>
      </c>
      <c r="AX3" s="76" t="s">
        <v>183</v>
      </c>
      <c r="AY3" s="76" t="s">
        <v>254</v>
      </c>
      <c r="AZ3" s="76" t="s">
        <v>261</v>
      </c>
      <c r="BA3" s="76" t="s">
        <v>261</v>
      </c>
      <c r="BB3" s="76" t="s">
        <v>125</v>
      </c>
      <c r="BC3" s="76" t="s">
        <v>183</v>
      </c>
      <c r="BD3" s="115" t="s">
        <v>254</v>
      </c>
      <c r="BE3" s="76" t="s">
        <v>273</v>
      </c>
      <c r="BF3" s="76" t="s">
        <v>261</v>
      </c>
      <c r="BG3" s="76" t="s">
        <v>128</v>
      </c>
      <c r="BH3" s="76" t="s">
        <v>125</v>
      </c>
      <c r="BI3" s="76" t="s">
        <v>257</v>
      </c>
      <c r="BJ3" s="76" t="s">
        <v>261</v>
      </c>
      <c r="BK3" s="76" t="s">
        <v>125</v>
      </c>
      <c r="BL3" s="76" t="s">
        <v>252</v>
      </c>
      <c r="BM3" s="76" t="s">
        <v>254</v>
      </c>
      <c r="BN3" s="76" t="s">
        <v>261</v>
      </c>
      <c r="BO3" s="23" t="s">
        <v>323</v>
      </c>
      <c r="BP3" s="76" t="s">
        <v>322</v>
      </c>
      <c r="BQ3" s="76" t="s">
        <v>295</v>
      </c>
      <c r="BR3" s="76" t="s">
        <v>292</v>
      </c>
      <c r="BS3" s="76" t="s">
        <v>308</v>
      </c>
      <c r="BT3" s="76" t="s">
        <v>296</v>
      </c>
      <c r="BU3" s="76" t="s">
        <v>337</v>
      </c>
      <c r="BV3" s="76" t="s">
        <v>339</v>
      </c>
      <c r="BW3" s="76" t="s">
        <v>261</v>
      </c>
      <c r="BX3" s="76" t="s">
        <v>194</v>
      </c>
      <c r="BY3" s="76" t="s">
        <v>292</v>
      </c>
      <c r="BZ3" s="76" t="s">
        <v>316</v>
      </c>
      <c r="CA3" s="76" t="s">
        <v>317</v>
      </c>
      <c r="CB3" s="76" t="s">
        <v>296</v>
      </c>
      <c r="CC3" s="76" t="s">
        <v>261</v>
      </c>
    </row>
    <row r="4" spans="1:81" s="27" customFormat="1" ht="15" thickBot="1" x14ac:dyDescent="0.3">
      <c r="A4" s="31" t="s">
        <v>53</v>
      </c>
      <c r="B4" s="37" t="s">
        <v>14</v>
      </c>
      <c r="C4" s="35" t="s">
        <v>33</v>
      </c>
      <c r="D4" s="35" t="s">
        <v>33</v>
      </c>
      <c r="E4" s="35" t="s">
        <v>33</v>
      </c>
      <c r="F4" s="35" t="s">
        <v>33</v>
      </c>
      <c r="G4" s="35" t="s">
        <v>33</v>
      </c>
      <c r="H4" s="35" t="s">
        <v>33</v>
      </c>
      <c r="I4" s="35" t="s">
        <v>62</v>
      </c>
      <c r="J4" s="35" t="s">
        <v>33</v>
      </c>
      <c r="K4" s="35" t="s">
        <v>33</v>
      </c>
      <c r="L4" s="33"/>
      <c r="M4" s="33"/>
      <c r="N4" s="35" t="s">
        <v>33</v>
      </c>
      <c r="O4" s="32" t="s">
        <v>86</v>
      </c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</row>
    <row r="5" spans="1:81" s="27" customFormat="1" ht="15" x14ac:dyDescent="0.25">
      <c r="A5" s="24" t="s">
        <v>52</v>
      </c>
      <c r="B5" s="47" t="s">
        <v>96</v>
      </c>
      <c r="C5" s="83" t="s">
        <v>205</v>
      </c>
      <c r="D5" s="83" t="s">
        <v>51</v>
      </c>
      <c r="E5" s="83" t="s">
        <v>58</v>
      </c>
      <c r="F5" s="73" t="s">
        <v>173</v>
      </c>
      <c r="G5" s="56" t="s">
        <v>12</v>
      </c>
      <c r="H5" s="24" t="s">
        <v>27</v>
      </c>
      <c r="I5" s="24" t="s">
        <v>62</v>
      </c>
      <c r="J5" s="34" t="s">
        <v>78</v>
      </c>
      <c r="K5" s="34">
        <v>8</v>
      </c>
      <c r="L5" s="34" t="s">
        <v>99</v>
      </c>
      <c r="M5" s="48" t="s">
        <v>278</v>
      </c>
      <c r="N5" s="24"/>
      <c r="O5" s="25" t="s">
        <v>103</v>
      </c>
      <c r="P5" s="23" t="s">
        <v>129</v>
      </c>
      <c r="Q5" s="23" t="s">
        <v>129</v>
      </c>
      <c r="R5" s="23" t="s">
        <v>129</v>
      </c>
      <c r="S5" s="23" t="s">
        <v>253</v>
      </c>
      <c r="T5" s="23" t="s">
        <v>253</v>
      </c>
      <c r="U5" s="23" t="s">
        <v>253</v>
      </c>
      <c r="V5" s="23" t="s">
        <v>176</v>
      </c>
      <c r="W5" s="23" t="s">
        <v>176</v>
      </c>
      <c r="X5" s="116" t="s">
        <v>262</v>
      </c>
      <c r="Y5" s="23" t="s">
        <v>262</v>
      </c>
      <c r="Z5" s="89" t="s">
        <v>263</v>
      </c>
      <c r="AA5" s="23" t="s">
        <v>179</v>
      </c>
      <c r="AB5" s="23" t="s">
        <v>179</v>
      </c>
      <c r="AC5" s="116" t="s">
        <v>267</v>
      </c>
      <c r="AD5" s="23" t="s">
        <v>267</v>
      </c>
      <c r="AE5" s="89" t="s">
        <v>263</v>
      </c>
      <c r="AF5" s="23" t="s">
        <v>126</v>
      </c>
      <c r="AG5" s="161" t="s">
        <v>272</v>
      </c>
      <c r="AH5" s="65" t="s">
        <v>126</v>
      </c>
      <c r="AI5" s="65" t="s">
        <v>126</v>
      </c>
      <c r="AJ5" s="65" t="s">
        <v>126</v>
      </c>
      <c r="AK5" s="65" t="s">
        <v>249</v>
      </c>
      <c r="AL5" s="23" t="s">
        <v>184</v>
      </c>
      <c r="AM5" s="23" t="s">
        <v>184</v>
      </c>
      <c r="AN5" s="23" t="s">
        <v>274</v>
      </c>
      <c r="AO5" s="89" t="s">
        <v>263</v>
      </c>
      <c r="AP5" s="89" t="s">
        <v>263</v>
      </c>
      <c r="AQ5" s="23" t="s">
        <v>185</v>
      </c>
      <c r="AR5" s="23" t="s">
        <v>185</v>
      </c>
      <c r="AS5" s="116" t="s">
        <v>275</v>
      </c>
      <c r="AT5" s="89" t="s">
        <v>263</v>
      </c>
      <c r="AU5" s="89" t="s">
        <v>263</v>
      </c>
      <c r="AV5" s="23" t="s">
        <v>136</v>
      </c>
      <c r="AW5" s="23" t="s">
        <v>136</v>
      </c>
      <c r="AX5" s="23" t="s">
        <v>136</v>
      </c>
      <c r="AY5" s="23" t="s">
        <v>255</v>
      </c>
      <c r="AZ5" s="23" t="s">
        <v>255</v>
      </c>
      <c r="BA5" s="23" t="s">
        <v>255</v>
      </c>
      <c r="BB5" s="23" t="s">
        <v>189</v>
      </c>
      <c r="BC5" s="23" t="s">
        <v>189</v>
      </c>
      <c r="BD5" s="116" t="s">
        <v>278</v>
      </c>
      <c r="BE5" s="23" t="s">
        <v>278</v>
      </c>
      <c r="BF5" s="89" t="s">
        <v>263</v>
      </c>
      <c r="BG5" s="23" t="s">
        <v>137</v>
      </c>
      <c r="BH5" s="23" t="s">
        <v>137</v>
      </c>
      <c r="BI5" s="23" t="s">
        <v>258</v>
      </c>
      <c r="BJ5" s="23" t="s">
        <v>258</v>
      </c>
      <c r="BK5" s="23" t="s">
        <v>193</v>
      </c>
      <c r="BL5" s="23" t="s">
        <v>281</v>
      </c>
      <c r="BM5" s="23" t="s">
        <v>281</v>
      </c>
      <c r="BN5" s="23" t="s">
        <v>281</v>
      </c>
      <c r="BO5" s="23" t="s">
        <v>197</v>
      </c>
      <c r="BP5" s="23" t="s">
        <v>298</v>
      </c>
      <c r="BQ5" s="23" t="s">
        <v>197</v>
      </c>
      <c r="BR5" s="23" t="s">
        <v>298</v>
      </c>
      <c r="BS5" s="23" t="s">
        <v>300</v>
      </c>
      <c r="BT5" s="23" t="s">
        <v>300</v>
      </c>
      <c r="BU5" s="34" t="s">
        <v>329</v>
      </c>
      <c r="BV5" s="34" t="s">
        <v>340</v>
      </c>
      <c r="BW5" s="89" t="s">
        <v>263</v>
      </c>
      <c r="BX5" s="23" t="s">
        <v>318</v>
      </c>
      <c r="BY5" s="23" t="s">
        <v>319</v>
      </c>
      <c r="BZ5" s="23" t="s">
        <v>318</v>
      </c>
      <c r="CA5" s="23" t="s">
        <v>320</v>
      </c>
      <c r="CB5" s="23" t="s">
        <v>320</v>
      </c>
      <c r="CC5" s="89" t="s">
        <v>263</v>
      </c>
    </row>
    <row r="6" spans="1:81" s="27" customFormat="1" ht="15" x14ac:dyDescent="0.25">
      <c r="A6" s="24" t="s">
        <v>50</v>
      </c>
      <c r="B6" s="47" t="s">
        <v>98</v>
      </c>
      <c r="C6" s="83" t="s">
        <v>206</v>
      </c>
      <c r="D6" s="83" t="s">
        <v>49</v>
      </c>
      <c r="E6" s="83" t="s">
        <v>58</v>
      </c>
      <c r="F6" s="73" t="s">
        <v>173</v>
      </c>
      <c r="G6" s="56" t="s">
        <v>12</v>
      </c>
      <c r="H6" s="24" t="s">
        <v>27</v>
      </c>
      <c r="I6" s="24" t="s">
        <v>62</v>
      </c>
      <c r="J6" s="34" t="s">
        <v>79</v>
      </c>
      <c r="K6" s="24">
        <v>2</v>
      </c>
      <c r="L6" s="24" t="s">
        <v>100</v>
      </c>
      <c r="M6" s="49" t="s">
        <v>36</v>
      </c>
      <c r="N6" s="24"/>
      <c r="O6" s="25" t="s">
        <v>101</v>
      </c>
      <c r="P6" s="23" t="s">
        <v>36</v>
      </c>
      <c r="Q6" s="85" t="s">
        <v>237</v>
      </c>
      <c r="R6" s="85" t="s">
        <v>240</v>
      </c>
      <c r="S6" s="85" t="s">
        <v>36</v>
      </c>
      <c r="T6" s="85" t="s">
        <v>237</v>
      </c>
      <c r="U6" s="85" t="s">
        <v>240</v>
      </c>
      <c r="V6" s="23" t="s">
        <v>36</v>
      </c>
      <c r="W6" s="85" t="s">
        <v>237</v>
      </c>
      <c r="X6" s="116" t="s">
        <v>36</v>
      </c>
      <c r="Y6" s="85" t="s">
        <v>237</v>
      </c>
      <c r="Z6" s="89" t="s">
        <v>263</v>
      </c>
      <c r="AA6" s="23" t="s">
        <v>36</v>
      </c>
      <c r="AB6" s="85" t="s">
        <v>237</v>
      </c>
      <c r="AC6" s="116" t="s">
        <v>36</v>
      </c>
      <c r="AD6" s="85" t="s">
        <v>237</v>
      </c>
      <c r="AE6" s="89" t="s">
        <v>263</v>
      </c>
      <c r="AF6" s="23" t="s">
        <v>36</v>
      </c>
      <c r="AG6" s="162"/>
      <c r="AH6" s="65">
        <v>2</v>
      </c>
      <c r="AI6" s="86" t="s">
        <v>240</v>
      </c>
      <c r="AJ6" s="86" t="s">
        <v>270</v>
      </c>
      <c r="AK6" s="86" t="s">
        <v>36</v>
      </c>
      <c r="AL6" s="23" t="s">
        <v>36</v>
      </c>
      <c r="AM6" s="85" t="s">
        <v>237</v>
      </c>
      <c r="AN6" s="23" t="s">
        <v>36</v>
      </c>
      <c r="AO6" s="89" t="s">
        <v>263</v>
      </c>
      <c r="AP6" s="89" t="s">
        <v>263</v>
      </c>
      <c r="AQ6" s="23" t="s">
        <v>36</v>
      </c>
      <c r="AR6" s="85" t="s">
        <v>237</v>
      </c>
      <c r="AS6" s="117" t="s">
        <v>36</v>
      </c>
      <c r="AT6" s="89" t="s">
        <v>263</v>
      </c>
      <c r="AU6" s="89" t="s">
        <v>263</v>
      </c>
      <c r="AV6" s="23" t="s">
        <v>36</v>
      </c>
      <c r="AW6" s="85" t="s">
        <v>237</v>
      </c>
      <c r="AX6" s="85" t="s">
        <v>240</v>
      </c>
      <c r="AY6" s="23" t="s">
        <v>36</v>
      </c>
      <c r="AZ6" s="85" t="s">
        <v>237</v>
      </c>
      <c r="BA6" s="85" t="s">
        <v>240</v>
      </c>
      <c r="BB6" s="23" t="s">
        <v>36</v>
      </c>
      <c r="BC6" s="85" t="s">
        <v>237</v>
      </c>
      <c r="BD6" s="116" t="s">
        <v>36</v>
      </c>
      <c r="BE6" s="85" t="s">
        <v>237</v>
      </c>
      <c r="BF6" s="89" t="s">
        <v>263</v>
      </c>
      <c r="BG6" s="23" t="s">
        <v>36</v>
      </c>
      <c r="BH6" s="23" t="s">
        <v>237</v>
      </c>
      <c r="BI6" s="23" t="s">
        <v>36</v>
      </c>
      <c r="BJ6" s="23" t="s">
        <v>237</v>
      </c>
      <c r="BK6" s="23" t="s">
        <v>36</v>
      </c>
      <c r="BL6" s="23" t="s">
        <v>36</v>
      </c>
      <c r="BM6" s="23" t="s">
        <v>237</v>
      </c>
      <c r="BN6" s="23">
        <v>3</v>
      </c>
      <c r="BO6" s="85" t="s">
        <v>36</v>
      </c>
      <c r="BP6" s="85" t="s">
        <v>36</v>
      </c>
      <c r="BQ6" s="23" t="s">
        <v>237</v>
      </c>
      <c r="BR6" s="23" t="s">
        <v>237</v>
      </c>
      <c r="BS6" s="85" t="s">
        <v>36</v>
      </c>
      <c r="BT6" s="23" t="s">
        <v>237</v>
      </c>
      <c r="BU6" s="56" t="s">
        <v>36</v>
      </c>
      <c r="BV6" s="56" t="s">
        <v>36</v>
      </c>
      <c r="BW6" s="89" t="s">
        <v>263</v>
      </c>
      <c r="BX6" s="85" t="s">
        <v>36</v>
      </c>
      <c r="BY6" s="85" t="s">
        <v>36</v>
      </c>
      <c r="BZ6" s="23" t="s">
        <v>237</v>
      </c>
      <c r="CA6" s="85" t="s">
        <v>36</v>
      </c>
      <c r="CB6" s="23" t="s">
        <v>237</v>
      </c>
      <c r="CC6" s="89" t="s">
        <v>263</v>
      </c>
    </row>
    <row r="7" spans="1:81" s="27" customFormat="1" ht="25.5" x14ac:dyDescent="0.25">
      <c r="A7" s="24" t="s">
        <v>48</v>
      </c>
      <c r="B7" s="47" t="s">
        <v>104</v>
      </c>
      <c r="C7" s="83" t="s">
        <v>207</v>
      </c>
      <c r="D7" s="83" t="s">
        <v>208</v>
      </c>
      <c r="E7" s="83" t="s">
        <v>58</v>
      </c>
      <c r="F7" s="74" t="s">
        <v>165</v>
      </c>
      <c r="G7" s="56" t="s">
        <v>12</v>
      </c>
      <c r="H7" s="24" t="s">
        <v>27</v>
      </c>
      <c r="I7" s="24" t="s">
        <v>143</v>
      </c>
      <c r="J7" s="34" t="s">
        <v>79</v>
      </c>
      <c r="K7" s="24">
        <v>1</v>
      </c>
      <c r="L7" s="24" t="s">
        <v>239</v>
      </c>
      <c r="M7" s="49" t="s">
        <v>240</v>
      </c>
      <c r="N7" s="24"/>
      <c r="O7" s="51" t="s">
        <v>238</v>
      </c>
      <c r="P7" s="85" t="s">
        <v>36</v>
      </c>
      <c r="Q7" s="85" t="s">
        <v>36</v>
      </c>
      <c r="R7" s="85" t="s">
        <v>36</v>
      </c>
      <c r="S7" s="85" t="s">
        <v>36</v>
      </c>
      <c r="T7" s="85" t="s">
        <v>36</v>
      </c>
      <c r="U7" s="85" t="s">
        <v>36</v>
      </c>
      <c r="V7" s="85" t="s">
        <v>36</v>
      </c>
      <c r="W7" s="85" t="s">
        <v>36</v>
      </c>
      <c r="X7" s="117" t="s">
        <v>36</v>
      </c>
      <c r="Y7" s="85" t="s">
        <v>36</v>
      </c>
      <c r="Z7" s="85" t="s">
        <v>36</v>
      </c>
      <c r="AA7" s="85" t="s">
        <v>36</v>
      </c>
      <c r="AB7" s="85" t="s">
        <v>36</v>
      </c>
      <c r="AC7" s="117" t="s">
        <v>36</v>
      </c>
      <c r="AD7" s="85" t="s">
        <v>36</v>
      </c>
      <c r="AE7" s="85" t="s">
        <v>36</v>
      </c>
      <c r="AF7" s="85" t="s">
        <v>237</v>
      </c>
      <c r="AG7" s="162"/>
      <c r="AH7" s="86" t="s">
        <v>237</v>
      </c>
      <c r="AI7" s="86" t="s">
        <v>237</v>
      </c>
      <c r="AJ7" s="86" t="s">
        <v>237</v>
      </c>
      <c r="AK7" s="86" t="s">
        <v>237</v>
      </c>
      <c r="AL7" s="85" t="s">
        <v>237</v>
      </c>
      <c r="AM7" s="85" t="s">
        <v>237</v>
      </c>
      <c r="AN7" s="85" t="s">
        <v>237</v>
      </c>
      <c r="AO7" s="85" t="s">
        <v>237</v>
      </c>
      <c r="AP7" s="85" t="s">
        <v>237</v>
      </c>
      <c r="AQ7" s="85" t="s">
        <v>237</v>
      </c>
      <c r="AR7" s="85" t="s">
        <v>237</v>
      </c>
      <c r="AS7" s="117" t="s">
        <v>237</v>
      </c>
      <c r="AT7" s="85" t="s">
        <v>237</v>
      </c>
      <c r="AU7" s="85" t="s">
        <v>237</v>
      </c>
      <c r="AV7" s="85" t="s">
        <v>240</v>
      </c>
      <c r="AW7" s="85" t="s">
        <v>240</v>
      </c>
      <c r="AX7" s="85" t="s">
        <v>240</v>
      </c>
      <c r="AY7" s="85" t="s">
        <v>240</v>
      </c>
      <c r="AZ7" s="85" t="s">
        <v>240</v>
      </c>
      <c r="BA7" s="85" t="s">
        <v>240</v>
      </c>
      <c r="BB7" s="85" t="s">
        <v>240</v>
      </c>
      <c r="BC7" s="85" t="s">
        <v>240</v>
      </c>
      <c r="BD7" s="117" t="s">
        <v>240</v>
      </c>
      <c r="BE7" s="85" t="s">
        <v>240</v>
      </c>
      <c r="BF7" s="85" t="s">
        <v>240</v>
      </c>
      <c r="BG7" s="85" t="s">
        <v>241</v>
      </c>
      <c r="BH7" s="85" t="s">
        <v>241</v>
      </c>
      <c r="BI7" s="85" t="s">
        <v>241</v>
      </c>
      <c r="BJ7" s="85" t="s">
        <v>241</v>
      </c>
      <c r="BK7" s="85" t="s">
        <v>241</v>
      </c>
      <c r="BL7" s="85" t="s">
        <v>241</v>
      </c>
      <c r="BM7" s="85" t="s">
        <v>241</v>
      </c>
      <c r="BN7" s="85" t="s">
        <v>241</v>
      </c>
      <c r="BO7" s="85" t="s">
        <v>283</v>
      </c>
      <c r="BP7" s="85" t="s">
        <v>283</v>
      </c>
      <c r="BQ7" s="85" t="s">
        <v>283</v>
      </c>
      <c r="BR7" s="85" t="s">
        <v>283</v>
      </c>
      <c r="BS7" s="85" t="s">
        <v>283</v>
      </c>
      <c r="BT7" s="85" t="s">
        <v>283</v>
      </c>
      <c r="BU7" s="56" t="s">
        <v>283</v>
      </c>
      <c r="BV7" s="56" t="s">
        <v>283</v>
      </c>
      <c r="BW7" s="85" t="s">
        <v>283</v>
      </c>
      <c r="BX7" s="85" t="s">
        <v>283</v>
      </c>
      <c r="BY7" s="85" t="s">
        <v>283</v>
      </c>
      <c r="BZ7" s="85" t="s">
        <v>283</v>
      </c>
      <c r="CA7" s="85" t="s">
        <v>283</v>
      </c>
      <c r="CB7" s="85" t="s">
        <v>283</v>
      </c>
      <c r="CC7" s="85" t="s">
        <v>283</v>
      </c>
    </row>
    <row r="8" spans="1:81" s="27" customFormat="1" ht="15" x14ac:dyDescent="0.25">
      <c r="A8" s="24" t="s">
        <v>47</v>
      </c>
      <c r="B8" s="47" t="s">
        <v>118</v>
      </c>
      <c r="C8" s="83" t="s">
        <v>209</v>
      </c>
      <c r="D8" s="83" t="s">
        <v>210</v>
      </c>
      <c r="E8" s="83" t="s">
        <v>58</v>
      </c>
      <c r="F8" s="73" t="s">
        <v>173</v>
      </c>
      <c r="G8" s="56" t="s">
        <v>12</v>
      </c>
      <c r="H8" s="24" t="s">
        <v>27</v>
      </c>
      <c r="I8" s="24" t="s">
        <v>143</v>
      </c>
      <c r="J8" s="34" t="s">
        <v>79</v>
      </c>
      <c r="K8" s="24">
        <v>2</v>
      </c>
      <c r="L8" s="52" t="s">
        <v>123</v>
      </c>
      <c r="M8" s="50" t="s">
        <v>130</v>
      </c>
      <c r="N8" s="24"/>
      <c r="O8" s="25" t="s">
        <v>102</v>
      </c>
      <c r="P8" s="65" t="s">
        <v>121</v>
      </c>
      <c r="Q8" s="65" t="s">
        <v>121</v>
      </c>
      <c r="R8" s="65" t="s">
        <v>121</v>
      </c>
      <c r="S8" s="65" t="s">
        <v>121</v>
      </c>
      <c r="T8" s="65" t="s">
        <v>121</v>
      </c>
      <c r="U8" s="65" t="s">
        <v>121</v>
      </c>
      <c r="V8" s="65" t="s">
        <v>180</v>
      </c>
      <c r="W8" s="65" t="s">
        <v>180</v>
      </c>
      <c r="X8" s="118" t="s">
        <v>180</v>
      </c>
      <c r="Y8" s="65" t="s">
        <v>180</v>
      </c>
      <c r="Z8" s="65" t="s">
        <v>180</v>
      </c>
      <c r="AA8" s="65" t="s">
        <v>180</v>
      </c>
      <c r="AB8" s="65" t="s">
        <v>180</v>
      </c>
      <c r="AC8" s="118" t="s">
        <v>180</v>
      </c>
      <c r="AD8" s="65" t="s">
        <v>180</v>
      </c>
      <c r="AE8" s="65" t="s">
        <v>180</v>
      </c>
      <c r="AF8" s="23" t="s">
        <v>154</v>
      </c>
      <c r="AG8" s="162"/>
      <c r="AH8" s="65" t="s">
        <v>154</v>
      </c>
      <c r="AI8" s="65" t="s">
        <v>154</v>
      </c>
      <c r="AJ8" s="65" t="s">
        <v>154</v>
      </c>
      <c r="AK8" s="65" t="s">
        <v>154</v>
      </c>
      <c r="AL8" s="23" t="s">
        <v>186</v>
      </c>
      <c r="AM8" s="23" t="s">
        <v>186</v>
      </c>
      <c r="AN8" s="23" t="s">
        <v>186</v>
      </c>
      <c r="AO8" s="23" t="s">
        <v>186</v>
      </c>
      <c r="AP8" s="23" t="s">
        <v>186</v>
      </c>
      <c r="AQ8" s="23" t="s">
        <v>186</v>
      </c>
      <c r="AR8" s="23" t="s">
        <v>186</v>
      </c>
      <c r="AS8" s="116" t="s">
        <v>186</v>
      </c>
      <c r="AT8" s="23" t="s">
        <v>186</v>
      </c>
      <c r="AU8" s="23" t="s">
        <v>186</v>
      </c>
      <c r="AV8" s="65" t="s">
        <v>130</v>
      </c>
      <c r="AW8" s="65" t="s">
        <v>130</v>
      </c>
      <c r="AX8" s="65" t="s">
        <v>130</v>
      </c>
      <c r="AY8" s="65" t="s">
        <v>130</v>
      </c>
      <c r="AZ8" s="65" t="s">
        <v>130</v>
      </c>
      <c r="BA8" s="65" t="s">
        <v>130</v>
      </c>
      <c r="BB8" s="65" t="s">
        <v>130</v>
      </c>
      <c r="BC8" s="65" t="s">
        <v>130</v>
      </c>
      <c r="BD8" s="118" t="s">
        <v>130</v>
      </c>
      <c r="BE8" s="65" t="s">
        <v>130</v>
      </c>
      <c r="BF8" s="65" t="s">
        <v>130</v>
      </c>
      <c r="BG8" s="65" t="s">
        <v>138</v>
      </c>
      <c r="BH8" s="65" t="s">
        <v>138</v>
      </c>
      <c r="BI8" s="65" t="s">
        <v>138</v>
      </c>
      <c r="BJ8" s="65" t="s">
        <v>138</v>
      </c>
      <c r="BK8" s="65" t="s">
        <v>138</v>
      </c>
      <c r="BL8" s="65" t="s">
        <v>138</v>
      </c>
      <c r="BM8" s="65" t="s">
        <v>138</v>
      </c>
      <c r="BN8" s="65" t="s">
        <v>138</v>
      </c>
      <c r="BO8" s="65" t="s">
        <v>134</v>
      </c>
      <c r="BP8" s="65" t="s">
        <v>134</v>
      </c>
      <c r="BQ8" s="65" t="s">
        <v>134</v>
      </c>
      <c r="BR8" s="65" t="s">
        <v>134</v>
      </c>
      <c r="BS8" s="65" t="s">
        <v>134</v>
      </c>
      <c r="BT8" s="65" t="s">
        <v>134</v>
      </c>
      <c r="BU8" s="106" t="s">
        <v>134</v>
      </c>
      <c r="BV8" s="106" t="s">
        <v>134</v>
      </c>
      <c r="BW8" s="65" t="s">
        <v>134</v>
      </c>
      <c r="BX8" s="65" t="s">
        <v>134</v>
      </c>
      <c r="BY8" s="65" t="s">
        <v>134</v>
      </c>
      <c r="BZ8" s="65" t="s">
        <v>134</v>
      </c>
      <c r="CA8" s="65" t="s">
        <v>134</v>
      </c>
      <c r="CB8" s="65" t="s">
        <v>134</v>
      </c>
      <c r="CC8" s="65" t="s">
        <v>134</v>
      </c>
    </row>
    <row r="9" spans="1:81" s="27" customFormat="1" ht="25.5" x14ac:dyDescent="0.25">
      <c r="A9" s="24" t="s">
        <v>46</v>
      </c>
      <c r="B9" s="47" t="s">
        <v>119</v>
      </c>
      <c r="C9" s="83" t="s">
        <v>211</v>
      </c>
      <c r="D9" s="83" t="s">
        <v>212</v>
      </c>
      <c r="E9" s="83" t="s">
        <v>58</v>
      </c>
      <c r="F9" s="73" t="s">
        <v>173</v>
      </c>
      <c r="G9" s="56" t="s">
        <v>12</v>
      </c>
      <c r="H9" s="24" t="s">
        <v>27</v>
      </c>
      <c r="I9" s="24" t="s">
        <v>143</v>
      </c>
      <c r="J9" s="34" t="s">
        <v>79</v>
      </c>
      <c r="K9" s="24">
        <v>3</v>
      </c>
      <c r="L9" s="52" t="s">
        <v>116</v>
      </c>
      <c r="M9" s="103" t="s">
        <v>149</v>
      </c>
      <c r="N9" s="24"/>
      <c r="O9" s="25" t="s">
        <v>122</v>
      </c>
      <c r="P9" s="22" t="s">
        <v>149</v>
      </c>
      <c r="Q9" s="22" t="s">
        <v>149</v>
      </c>
      <c r="R9" s="22" t="s">
        <v>149</v>
      </c>
      <c r="S9" s="22" t="s">
        <v>149</v>
      </c>
      <c r="T9" s="22" t="s">
        <v>149</v>
      </c>
      <c r="U9" s="22" t="s">
        <v>149</v>
      </c>
      <c r="V9" s="22" t="s">
        <v>149</v>
      </c>
      <c r="W9" s="22" t="s">
        <v>149</v>
      </c>
      <c r="X9" s="119" t="s">
        <v>149</v>
      </c>
      <c r="Y9" s="22" t="s">
        <v>149</v>
      </c>
      <c r="Z9" s="22" t="s">
        <v>149</v>
      </c>
      <c r="AA9" s="22" t="s">
        <v>149</v>
      </c>
      <c r="AB9" s="22" t="s">
        <v>149</v>
      </c>
      <c r="AC9" s="119" t="s">
        <v>149</v>
      </c>
      <c r="AD9" s="22" t="s">
        <v>149</v>
      </c>
      <c r="AE9" s="22" t="s">
        <v>149</v>
      </c>
      <c r="AF9" s="22" t="s">
        <v>149</v>
      </c>
      <c r="AG9" s="162"/>
      <c r="AH9" s="69" t="s">
        <v>149</v>
      </c>
      <c r="AI9" s="69" t="s">
        <v>149</v>
      </c>
      <c r="AJ9" s="69" t="s">
        <v>149</v>
      </c>
      <c r="AK9" s="69" t="s">
        <v>149</v>
      </c>
      <c r="AL9" s="22" t="s">
        <v>149</v>
      </c>
      <c r="AM9" s="22" t="s">
        <v>149</v>
      </c>
      <c r="AN9" s="22" t="s">
        <v>149</v>
      </c>
      <c r="AO9" s="22" t="s">
        <v>149</v>
      </c>
      <c r="AP9" s="22" t="s">
        <v>149</v>
      </c>
      <c r="AQ9" s="22" t="s">
        <v>149</v>
      </c>
      <c r="AR9" s="22" t="s">
        <v>149</v>
      </c>
      <c r="AS9" s="119" t="s">
        <v>149</v>
      </c>
      <c r="AT9" s="22" t="s">
        <v>149</v>
      </c>
      <c r="AU9" s="22" t="s">
        <v>149</v>
      </c>
      <c r="AV9" s="69" t="s">
        <v>149</v>
      </c>
      <c r="AW9" s="69" t="s">
        <v>149</v>
      </c>
      <c r="AX9" s="69" t="s">
        <v>149</v>
      </c>
      <c r="AY9" s="69" t="s">
        <v>149</v>
      </c>
      <c r="AZ9" s="69" t="s">
        <v>149</v>
      </c>
      <c r="BA9" s="69" t="s">
        <v>149</v>
      </c>
      <c r="BB9" s="69" t="s">
        <v>149</v>
      </c>
      <c r="BC9" s="69" t="s">
        <v>149</v>
      </c>
      <c r="BD9" s="123" t="s">
        <v>149</v>
      </c>
      <c r="BE9" s="69" t="s">
        <v>149</v>
      </c>
      <c r="BF9" s="69" t="s">
        <v>149</v>
      </c>
      <c r="BG9" s="69" t="s">
        <v>149</v>
      </c>
      <c r="BH9" s="69" t="s">
        <v>149</v>
      </c>
      <c r="BI9" s="69" t="s">
        <v>149</v>
      </c>
      <c r="BJ9" s="69" t="s">
        <v>149</v>
      </c>
      <c r="BK9" s="69" t="s">
        <v>149</v>
      </c>
      <c r="BL9" s="69" t="s">
        <v>149</v>
      </c>
      <c r="BM9" s="69" t="s">
        <v>149</v>
      </c>
      <c r="BN9" s="69" t="s">
        <v>149</v>
      </c>
      <c r="BO9" s="69" t="s">
        <v>284</v>
      </c>
      <c r="BP9" s="69" t="s">
        <v>284</v>
      </c>
      <c r="BQ9" s="69" t="s">
        <v>284</v>
      </c>
      <c r="BR9" s="69" t="s">
        <v>284</v>
      </c>
      <c r="BS9" s="69" t="s">
        <v>284</v>
      </c>
      <c r="BT9" s="69" t="s">
        <v>284</v>
      </c>
      <c r="BU9" s="107" t="s">
        <v>330</v>
      </c>
      <c r="BV9" s="107" t="s">
        <v>330</v>
      </c>
      <c r="BW9" s="69" t="s">
        <v>284</v>
      </c>
      <c r="BX9" s="69" t="s">
        <v>284</v>
      </c>
      <c r="BY9" s="69" t="s">
        <v>284</v>
      </c>
      <c r="BZ9" s="69" t="s">
        <v>321</v>
      </c>
      <c r="CA9" s="69" t="s">
        <v>321</v>
      </c>
      <c r="CB9" s="69" t="s">
        <v>321</v>
      </c>
      <c r="CC9" s="98" t="s">
        <v>263</v>
      </c>
    </row>
    <row r="10" spans="1:81" s="27" customFormat="1" ht="15" x14ac:dyDescent="0.25">
      <c r="A10" s="24" t="s">
        <v>174</v>
      </c>
      <c r="B10" s="47" t="s">
        <v>111</v>
      </c>
      <c r="C10" s="83" t="s">
        <v>213</v>
      </c>
      <c r="D10" s="83" t="s">
        <v>214</v>
      </c>
      <c r="E10" s="83" t="s">
        <v>58</v>
      </c>
      <c r="F10" s="24" t="s">
        <v>167</v>
      </c>
      <c r="G10" s="24" t="s">
        <v>27</v>
      </c>
      <c r="H10" s="24" t="s">
        <v>28</v>
      </c>
      <c r="I10" s="24" t="s">
        <v>143</v>
      </c>
      <c r="J10" s="34" t="s">
        <v>78</v>
      </c>
      <c r="K10" s="24">
        <v>6</v>
      </c>
      <c r="L10" s="24" t="s">
        <v>112</v>
      </c>
      <c r="M10" s="105" t="s">
        <v>256</v>
      </c>
      <c r="N10" s="24"/>
      <c r="O10" s="25" t="s">
        <v>171</v>
      </c>
      <c r="P10" s="22" t="s">
        <v>117</v>
      </c>
      <c r="Q10" s="22" t="s">
        <v>117</v>
      </c>
      <c r="R10" s="22" t="s">
        <v>117</v>
      </c>
      <c r="S10" s="22" t="s">
        <v>117</v>
      </c>
      <c r="T10" s="22" t="s">
        <v>117</v>
      </c>
      <c r="U10" s="22" t="s">
        <v>117</v>
      </c>
      <c r="V10" s="22" t="s">
        <v>117</v>
      </c>
      <c r="W10" s="22" t="s">
        <v>117</v>
      </c>
      <c r="X10" s="119" t="s">
        <v>117</v>
      </c>
      <c r="Y10" s="22" t="s">
        <v>117</v>
      </c>
      <c r="Z10" s="22" t="s">
        <v>117</v>
      </c>
      <c r="AA10" s="22" t="s">
        <v>117</v>
      </c>
      <c r="AB10" s="22" t="s">
        <v>117</v>
      </c>
      <c r="AC10" s="119" t="s">
        <v>117</v>
      </c>
      <c r="AD10" s="22" t="s">
        <v>117</v>
      </c>
      <c r="AE10" s="22" t="s">
        <v>117</v>
      </c>
      <c r="AF10" s="22" t="s">
        <v>117</v>
      </c>
      <c r="AG10" s="162"/>
      <c r="AH10" s="69" t="s">
        <v>243</v>
      </c>
      <c r="AI10" s="69" t="s">
        <v>117</v>
      </c>
      <c r="AJ10" s="69" t="s">
        <v>117</v>
      </c>
      <c r="AK10" s="69" t="s">
        <v>117</v>
      </c>
      <c r="AL10" s="22" t="s">
        <v>117</v>
      </c>
      <c r="AM10" s="22" t="s">
        <v>117</v>
      </c>
      <c r="AN10" s="22" t="s">
        <v>117</v>
      </c>
      <c r="AO10" s="22" t="s">
        <v>117</v>
      </c>
      <c r="AP10" s="22" t="s">
        <v>117</v>
      </c>
      <c r="AQ10" s="22" t="s">
        <v>117</v>
      </c>
      <c r="AR10" s="22" t="s">
        <v>117</v>
      </c>
      <c r="AS10" s="119" t="s">
        <v>117</v>
      </c>
      <c r="AT10" s="22" t="s">
        <v>117</v>
      </c>
      <c r="AU10" s="22" t="s">
        <v>117</v>
      </c>
      <c r="AV10" s="69" t="s">
        <v>188</v>
      </c>
      <c r="AW10" s="69" t="s">
        <v>276</v>
      </c>
      <c r="AX10" s="69" t="s">
        <v>256</v>
      </c>
      <c r="AY10" s="69" t="s">
        <v>256</v>
      </c>
      <c r="AZ10" s="69" t="s">
        <v>256</v>
      </c>
      <c r="BA10" s="69" t="s">
        <v>256</v>
      </c>
      <c r="BB10" s="69" t="s">
        <v>188</v>
      </c>
      <c r="BC10" s="69" t="s">
        <v>256</v>
      </c>
      <c r="BD10" s="123" t="s">
        <v>256</v>
      </c>
      <c r="BE10" s="69" t="s">
        <v>256</v>
      </c>
      <c r="BF10" s="69" t="s">
        <v>256</v>
      </c>
      <c r="BG10" s="69" t="s">
        <v>191</v>
      </c>
      <c r="BH10" s="69" t="s">
        <v>279</v>
      </c>
      <c r="BI10" s="69" t="s">
        <v>279</v>
      </c>
      <c r="BJ10" s="69" t="s">
        <v>279</v>
      </c>
      <c r="BK10" s="69" t="s">
        <v>191</v>
      </c>
      <c r="BL10" s="69" t="s">
        <v>279</v>
      </c>
      <c r="BM10" s="69" t="s">
        <v>279</v>
      </c>
      <c r="BN10" s="69" t="s">
        <v>279</v>
      </c>
      <c r="BO10" s="67" t="s">
        <v>201</v>
      </c>
      <c r="BP10" s="67" t="s">
        <v>201</v>
      </c>
      <c r="BQ10" s="67" t="s">
        <v>201</v>
      </c>
      <c r="BR10" s="67" t="s">
        <v>201</v>
      </c>
      <c r="BS10" s="67" t="s">
        <v>285</v>
      </c>
      <c r="BT10" s="68" t="s">
        <v>327</v>
      </c>
      <c r="BU10" s="108" t="s">
        <v>336</v>
      </c>
      <c r="BV10" s="108" t="s">
        <v>336</v>
      </c>
      <c r="BW10" s="68" t="s">
        <v>327</v>
      </c>
      <c r="BX10" s="67" t="s">
        <v>201</v>
      </c>
      <c r="BY10" s="67" t="s">
        <v>201</v>
      </c>
      <c r="BZ10" s="67" t="s">
        <v>201</v>
      </c>
      <c r="CA10" s="67" t="s">
        <v>285</v>
      </c>
      <c r="CB10" s="67" t="s">
        <v>285</v>
      </c>
      <c r="CC10" s="98" t="s">
        <v>263</v>
      </c>
    </row>
    <row r="11" spans="1:81" s="27" customFormat="1" ht="15" x14ac:dyDescent="0.25">
      <c r="A11" s="24" t="s">
        <v>45</v>
      </c>
      <c r="B11" s="47" t="s">
        <v>93</v>
      </c>
      <c r="C11" s="83" t="s">
        <v>215</v>
      </c>
      <c r="D11" s="83" t="s">
        <v>216</v>
      </c>
      <c r="E11" s="83" t="s">
        <v>58</v>
      </c>
      <c r="F11" s="24" t="s">
        <v>166</v>
      </c>
      <c r="G11" s="24" t="s">
        <v>27</v>
      </c>
      <c r="H11" s="56" t="s">
        <v>12</v>
      </c>
      <c r="I11" s="24" t="s">
        <v>113</v>
      </c>
      <c r="J11" s="34" t="s">
        <v>78</v>
      </c>
      <c r="K11" s="24">
        <v>512</v>
      </c>
      <c r="L11" s="28" t="s">
        <v>105</v>
      </c>
      <c r="M11" s="114" t="s">
        <v>268</v>
      </c>
      <c r="N11" s="28"/>
      <c r="O11" s="25" t="s">
        <v>109</v>
      </c>
      <c r="P11" s="87" t="s">
        <v>246</v>
      </c>
      <c r="Q11" s="87" t="s">
        <v>246</v>
      </c>
      <c r="R11" s="87" t="s">
        <v>246</v>
      </c>
      <c r="S11" s="90" t="s">
        <v>268</v>
      </c>
      <c r="T11" s="90" t="s">
        <v>268</v>
      </c>
      <c r="U11" s="90" t="s">
        <v>268</v>
      </c>
      <c r="V11" s="87" t="s">
        <v>246</v>
      </c>
      <c r="W11" s="87" t="s">
        <v>246</v>
      </c>
      <c r="X11" s="120" t="s">
        <v>268</v>
      </c>
      <c r="Y11" s="90" t="s">
        <v>268</v>
      </c>
      <c r="Z11" s="90" t="s">
        <v>268</v>
      </c>
      <c r="AA11" s="87" t="s">
        <v>246</v>
      </c>
      <c r="AB11" s="87" t="s">
        <v>246</v>
      </c>
      <c r="AC11" s="120" t="s">
        <v>268</v>
      </c>
      <c r="AD11" s="90" t="s">
        <v>268</v>
      </c>
      <c r="AE11" s="90" t="s">
        <v>268</v>
      </c>
      <c r="AF11" s="87" t="s">
        <v>246</v>
      </c>
      <c r="AG11" s="162"/>
      <c r="AH11" s="87" t="s">
        <v>246</v>
      </c>
      <c r="AI11" s="87" t="s">
        <v>246</v>
      </c>
      <c r="AJ11" s="87" t="s">
        <v>246</v>
      </c>
      <c r="AK11" s="90" t="s">
        <v>268</v>
      </c>
      <c r="AL11" s="87" t="s">
        <v>246</v>
      </c>
      <c r="AM11" s="87" t="s">
        <v>246</v>
      </c>
      <c r="AN11" s="90" t="s">
        <v>268</v>
      </c>
      <c r="AO11" s="90" t="s">
        <v>268</v>
      </c>
      <c r="AP11" s="90" t="s">
        <v>268</v>
      </c>
      <c r="AQ11" s="87" t="s">
        <v>246</v>
      </c>
      <c r="AR11" s="87" t="s">
        <v>246</v>
      </c>
      <c r="AS11" s="120" t="s">
        <v>268</v>
      </c>
      <c r="AT11" s="90" t="s">
        <v>268</v>
      </c>
      <c r="AU11" s="90" t="s">
        <v>268</v>
      </c>
      <c r="AV11" s="87" t="s">
        <v>246</v>
      </c>
      <c r="AW11" s="87" t="s">
        <v>246</v>
      </c>
      <c r="AX11" s="87" t="s">
        <v>246</v>
      </c>
      <c r="AY11" s="90" t="s">
        <v>268</v>
      </c>
      <c r="AZ11" s="90" t="s">
        <v>268</v>
      </c>
      <c r="BA11" s="90" t="s">
        <v>268</v>
      </c>
      <c r="BB11" s="87" t="s">
        <v>246</v>
      </c>
      <c r="BC11" s="87" t="s">
        <v>246</v>
      </c>
      <c r="BD11" s="120" t="s">
        <v>268</v>
      </c>
      <c r="BE11" s="90" t="s">
        <v>268</v>
      </c>
      <c r="BF11" s="90" t="s">
        <v>268</v>
      </c>
      <c r="BG11" s="87" t="s">
        <v>246</v>
      </c>
      <c r="BH11" s="87" t="s">
        <v>246</v>
      </c>
      <c r="BI11" s="90" t="s">
        <v>268</v>
      </c>
      <c r="BJ11" s="90" t="s">
        <v>268</v>
      </c>
      <c r="BK11" s="90" t="s">
        <v>246</v>
      </c>
      <c r="BL11" s="90" t="s">
        <v>268</v>
      </c>
      <c r="BM11" s="90" t="s">
        <v>268</v>
      </c>
      <c r="BN11" s="90" t="s">
        <v>268</v>
      </c>
      <c r="BO11" s="90" t="s">
        <v>324</v>
      </c>
      <c r="BP11" s="90" t="s">
        <v>302</v>
      </c>
      <c r="BQ11" s="90" t="s">
        <v>286</v>
      </c>
      <c r="BR11" s="90" t="s">
        <v>302</v>
      </c>
      <c r="BS11" s="90" t="s">
        <v>313</v>
      </c>
      <c r="BT11" s="90" t="s">
        <v>313</v>
      </c>
      <c r="BU11" s="109" t="s">
        <v>335</v>
      </c>
      <c r="BV11" s="112" t="s">
        <v>344</v>
      </c>
      <c r="BW11" s="90"/>
      <c r="BX11" s="90" t="s">
        <v>324</v>
      </c>
      <c r="BY11" s="90" t="s">
        <v>302</v>
      </c>
      <c r="BZ11" s="90" t="s">
        <v>286</v>
      </c>
      <c r="CA11" s="90" t="s">
        <v>313</v>
      </c>
      <c r="CB11" s="90" t="s">
        <v>313</v>
      </c>
      <c r="CC11" s="90" t="s">
        <v>313</v>
      </c>
    </row>
    <row r="12" spans="1:81" s="27" customFormat="1" ht="15" x14ac:dyDescent="0.25">
      <c r="A12" s="24" t="s">
        <v>44</v>
      </c>
      <c r="B12" s="47" t="s">
        <v>94</v>
      </c>
      <c r="C12" s="83" t="s">
        <v>217</v>
      </c>
      <c r="D12" s="83" t="s">
        <v>218</v>
      </c>
      <c r="E12" s="83" t="s">
        <v>58</v>
      </c>
      <c r="F12" s="24" t="s">
        <v>166</v>
      </c>
      <c r="G12" s="24" t="s">
        <v>28</v>
      </c>
      <c r="H12" s="56" t="s">
        <v>12</v>
      </c>
      <c r="I12" s="24" t="s">
        <v>113</v>
      </c>
      <c r="J12" s="34" t="s">
        <v>78</v>
      </c>
      <c r="K12" s="59">
        <v>8</v>
      </c>
      <c r="L12" s="59" t="s">
        <v>172</v>
      </c>
      <c r="M12" s="105" t="s">
        <v>265</v>
      </c>
      <c r="N12" s="24"/>
      <c r="O12" s="25" t="s">
        <v>170</v>
      </c>
      <c r="P12" s="22" t="s">
        <v>114</v>
      </c>
      <c r="Q12" s="22" t="s">
        <v>114</v>
      </c>
      <c r="R12" s="22" t="s">
        <v>114</v>
      </c>
      <c r="S12" s="22" t="s">
        <v>265</v>
      </c>
      <c r="T12" s="22" t="s">
        <v>265</v>
      </c>
      <c r="U12" s="22" t="s">
        <v>265</v>
      </c>
      <c r="V12" s="22" t="s">
        <v>114</v>
      </c>
      <c r="W12" s="22" t="s">
        <v>114</v>
      </c>
      <c r="X12" s="119" t="s">
        <v>265</v>
      </c>
      <c r="Y12" s="22" t="s">
        <v>265</v>
      </c>
      <c r="Z12" s="22" t="s">
        <v>265</v>
      </c>
      <c r="AA12" s="22" t="s">
        <v>114</v>
      </c>
      <c r="AB12" s="22" t="s">
        <v>114</v>
      </c>
      <c r="AC12" s="119" t="s">
        <v>265</v>
      </c>
      <c r="AD12" s="22" t="s">
        <v>265</v>
      </c>
      <c r="AE12" s="22" t="s">
        <v>265</v>
      </c>
      <c r="AF12" s="22" t="s">
        <v>114</v>
      </c>
      <c r="AG12" s="162"/>
      <c r="AH12" s="22" t="s">
        <v>114</v>
      </c>
      <c r="AI12" s="22" t="s">
        <v>114</v>
      </c>
      <c r="AJ12" s="22" t="s">
        <v>114</v>
      </c>
      <c r="AK12" s="22" t="s">
        <v>265</v>
      </c>
      <c r="AL12" s="22" t="s">
        <v>114</v>
      </c>
      <c r="AM12" s="22" t="s">
        <v>114</v>
      </c>
      <c r="AN12" s="22" t="s">
        <v>265</v>
      </c>
      <c r="AO12" s="22" t="s">
        <v>265</v>
      </c>
      <c r="AP12" s="22" t="s">
        <v>265</v>
      </c>
      <c r="AQ12" s="22" t="s">
        <v>114</v>
      </c>
      <c r="AR12" s="22" t="s">
        <v>114</v>
      </c>
      <c r="AS12" s="119" t="s">
        <v>265</v>
      </c>
      <c r="AT12" s="22" t="s">
        <v>265</v>
      </c>
      <c r="AU12" s="22" t="s">
        <v>265</v>
      </c>
      <c r="AV12" s="22" t="s">
        <v>114</v>
      </c>
      <c r="AW12" s="22" t="s">
        <v>114</v>
      </c>
      <c r="AX12" s="22" t="s">
        <v>114</v>
      </c>
      <c r="AY12" s="22" t="s">
        <v>265</v>
      </c>
      <c r="AZ12" s="22" t="s">
        <v>265</v>
      </c>
      <c r="BA12" s="22" t="s">
        <v>265</v>
      </c>
      <c r="BB12" s="22" t="s">
        <v>114</v>
      </c>
      <c r="BC12" s="22" t="s">
        <v>114</v>
      </c>
      <c r="BD12" s="119" t="s">
        <v>265</v>
      </c>
      <c r="BE12" s="22" t="s">
        <v>265</v>
      </c>
      <c r="BF12" s="22" t="s">
        <v>265</v>
      </c>
      <c r="BG12" s="22" t="s">
        <v>114</v>
      </c>
      <c r="BH12" s="22" t="s">
        <v>114</v>
      </c>
      <c r="BI12" s="22" t="s">
        <v>265</v>
      </c>
      <c r="BJ12" s="22" t="s">
        <v>265</v>
      </c>
      <c r="BK12" s="22" t="s">
        <v>114</v>
      </c>
      <c r="BL12" s="22" t="s">
        <v>265</v>
      </c>
      <c r="BM12" s="22" t="s">
        <v>265</v>
      </c>
      <c r="BN12" s="22" t="s">
        <v>265</v>
      </c>
      <c r="BO12" s="101" t="s">
        <v>202</v>
      </c>
      <c r="BP12" s="22" t="s">
        <v>303</v>
      </c>
      <c r="BQ12" s="22" t="s">
        <v>287</v>
      </c>
      <c r="BR12" s="22" t="s">
        <v>303</v>
      </c>
      <c r="BS12" s="22" t="s">
        <v>309</v>
      </c>
      <c r="BT12" s="22" t="s">
        <v>309</v>
      </c>
      <c r="BU12" s="108" t="s">
        <v>333</v>
      </c>
      <c r="BV12" s="108" t="s">
        <v>342</v>
      </c>
      <c r="BW12" s="22"/>
      <c r="BX12" s="101" t="s">
        <v>202</v>
      </c>
      <c r="BY12" s="22" t="s">
        <v>303</v>
      </c>
      <c r="BZ12" s="22" t="s">
        <v>287</v>
      </c>
      <c r="CA12" s="22" t="s">
        <v>309</v>
      </c>
      <c r="CB12" s="22" t="s">
        <v>309</v>
      </c>
      <c r="CC12" s="22" t="s">
        <v>309</v>
      </c>
    </row>
    <row r="13" spans="1:81" s="27" customFormat="1" x14ac:dyDescent="0.25">
      <c r="A13" s="24" t="s">
        <v>43</v>
      </c>
      <c r="B13" s="47" t="s">
        <v>95</v>
      </c>
      <c r="C13" s="83" t="s">
        <v>219</v>
      </c>
      <c r="D13" s="83" t="s">
        <v>220</v>
      </c>
      <c r="E13" s="83" t="s">
        <v>58</v>
      </c>
      <c r="F13" s="24" t="s">
        <v>166</v>
      </c>
      <c r="G13" s="24" t="s">
        <v>28</v>
      </c>
      <c r="H13" s="56" t="s">
        <v>12</v>
      </c>
      <c r="I13" s="24" t="s">
        <v>113</v>
      </c>
      <c r="J13" s="34" t="s">
        <v>78</v>
      </c>
      <c r="K13" s="24">
        <v>32</v>
      </c>
      <c r="L13" s="24" t="s">
        <v>107</v>
      </c>
      <c r="M13" s="47" t="s">
        <v>352</v>
      </c>
      <c r="N13" s="24"/>
      <c r="O13" s="25" t="s">
        <v>115</v>
      </c>
      <c r="P13" s="26" t="s">
        <v>245</v>
      </c>
      <c r="Q13" s="26" t="s">
        <v>245</v>
      </c>
      <c r="R13" s="26" t="s">
        <v>245</v>
      </c>
      <c r="S13" s="26" t="s">
        <v>352</v>
      </c>
      <c r="T13" s="26" t="s">
        <v>352</v>
      </c>
      <c r="U13" s="26" t="s">
        <v>352</v>
      </c>
      <c r="V13" s="26" t="s">
        <v>245</v>
      </c>
      <c r="W13" s="26" t="s">
        <v>245</v>
      </c>
      <c r="X13" s="121" t="s">
        <v>352</v>
      </c>
      <c r="Y13" s="26" t="s">
        <v>352</v>
      </c>
      <c r="Z13" s="26" t="s">
        <v>352</v>
      </c>
      <c r="AA13" s="26" t="s">
        <v>245</v>
      </c>
      <c r="AB13" s="26" t="s">
        <v>245</v>
      </c>
      <c r="AC13" s="121" t="s">
        <v>352</v>
      </c>
      <c r="AD13" s="26" t="s">
        <v>352</v>
      </c>
      <c r="AE13" s="26" t="s">
        <v>352</v>
      </c>
      <c r="AF13" s="26" t="s">
        <v>245</v>
      </c>
      <c r="AG13" s="162"/>
      <c r="AH13" s="26" t="s">
        <v>245</v>
      </c>
      <c r="AI13" s="26" t="s">
        <v>245</v>
      </c>
      <c r="AJ13" s="26" t="s">
        <v>245</v>
      </c>
      <c r="AK13" s="26" t="s">
        <v>352</v>
      </c>
      <c r="AL13" s="26" t="s">
        <v>245</v>
      </c>
      <c r="AM13" s="26" t="s">
        <v>245</v>
      </c>
      <c r="AN13" s="26" t="s">
        <v>352</v>
      </c>
      <c r="AO13" s="26" t="s">
        <v>352</v>
      </c>
      <c r="AP13" s="26" t="s">
        <v>352</v>
      </c>
      <c r="AQ13" s="26" t="s">
        <v>245</v>
      </c>
      <c r="AR13" s="26" t="s">
        <v>245</v>
      </c>
      <c r="AS13" s="121" t="s">
        <v>352</v>
      </c>
      <c r="AT13" s="26" t="s">
        <v>352</v>
      </c>
      <c r="AU13" s="26" t="s">
        <v>352</v>
      </c>
      <c r="AV13" s="26" t="s">
        <v>245</v>
      </c>
      <c r="AW13" s="26" t="s">
        <v>245</v>
      </c>
      <c r="AX13" s="26" t="s">
        <v>245</v>
      </c>
      <c r="AY13" s="26" t="s">
        <v>352</v>
      </c>
      <c r="AZ13" s="26" t="s">
        <v>352</v>
      </c>
      <c r="BA13" s="26" t="s">
        <v>352</v>
      </c>
      <c r="BB13" s="26" t="s">
        <v>245</v>
      </c>
      <c r="BC13" s="26" t="s">
        <v>245</v>
      </c>
      <c r="BD13" s="121" t="s">
        <v>352</v>
      </c>
      <c r="BE13" s="26" t="s">
        <v>352</v>
      </c>
      <c r="BF13" s="26" t="s">
        <v>352</v>
      </c>
      <c r="BG13" s="26" t="s">
        <v>245</v>
      </c>
      <c r="BH13" s="26" t="s">
        <v>245</v>
      </c>
      <c r="BI13" s="26" t="s">
        <v>352</v>
      </c>
      <c r="BJ13" s="26" t="s">
        <v>352</v>
      </c>
      <c r="BK13" s="26" t="s">
        <v>245</v>
      </c>
      <c r="BL13" s="26" t="s">
        <v>352</v>
      </c>
      <c r="BM13" s="26" t="s">
        <v>352</v>
      </c>
      <c r="BN13" s="26" t="s">
        <v>352</v>
      </c>
      <c r="BO13" s="26" t="s">
        <v>325</v>
      </c>
      <c r="BP13" s="26" t="s">
        <v>304</v>
      </c>
      <c r="BQ13" s="26" t="s">
        <v>288</v>
      </c>
      <c r="BR13" s="26" t="s">
        <v>304</v>
      </c>
      <c r="BS13" s="26" t="s">
        <v>314</v>
      </c>
      <c r="BT13" s="26" t="s">
        <v>314</v>
      </c>
      <c r="BU13" s="24" t="s">
        <v>334</v>
      </c>
      <c r="BV13" s="113" t="s">
        <v>344</v>
      </c>
      <c r="BW13" s="26"/>
      <c r="BX13" s="26" t="s">
        <v>325</v>
      </c>
      <c r="BY13" s="26" t="s">
        <v>304</v>
      </c>
      <c r="BZ13" s="26" t="s">
        <v>288</v>
      </c>
      <c r="CA13" s="26" t="s">
        <v>314</v>
      </c>
      <c r="CB13" s="26" t="s">
        <v>314</v>
      </c>
      <c r="CC13" s="26" t="s">
        <v>314</v>
      </c>
    </row>
    <row r="14" spans="1:81" s="27" customFormat="1" ht="15" x14ac:dyDescent="0.25">
      <c r="A14" s="24" t="s">
        <v>42</v>
      </c>
      <c r="B14" s="47" t="s">
        <v>139</v>
      </c>
      <c r="C14" s="83" t="s">
        <v>221</v>
      </c>
      <c r="D14" s="83" t="s">
        <v>222</v>
      </c>
      <c r="E14" s="83" t="s">
        <v>58</v>
      </c>
      <c r="F14" s="73" t="s">
        <v>173</v>
      </c>
      <c r="G14" s="56" t="s">
        <v>12</v>
      </c>
      <c r="H14" s="24" t="s">
        <v>28</v>
      </c>
      <c r="I14" s="24" t="s">
        <v>113</v>
      </c>
      <c r="J14" s="34" t="s">
        <v>79</v>
      </c>
      <c r="K14" s="24">
        <v>2</v>
      </c>
      <c r="L14" s="24" t="s">
        <v>123</v>
      </c>
      <c r="M14" s="47" t="s">
        <v>157</v>
      </c>
      <c r="N14" s="24"/>
      <c r="O14" s="25" t="s">
        <v>139</v>
      </c>
      <c r="P14" s="65" t="s">
        <v>157</v>
      </c>
      <c r="Q14" s="65" t="s">
        <v>157</v>
      </c>
      <c r="R14" s="65" t="s">
        <v>157</v>
      </c>
      <c r="S14" s="65" t="s">
        <v>157</v>
      </c>
      <c r="T14" s="65" t="s">
        <v>157</v>
      </c>
      <c r="U14" s="65" t="s">
        <v>157</v>
      </c>
      <c r="V14" s="65" t="s">
        <v>157</v>
      </c>
      <c r="W14" s="65" t="s">
        <v>157</v>
      </c>
      <c r="X14" s="118" t="s">
        <v>157</v>
      </c>
      <c r="Y14" s="65" t="s">
        <v>157</v>
      </c>
      <c r="Z14" s="65" t="s">
        <v>157</v>
      </c>
      <c r="AA14" s="65" t="s">
        <v>157</v>
      </c>
      <c r="AB14" s="65" t="s">
        <v>157</v>
      </c>
      <c r="AC14" s="118" t="s">
        <v>157</v>
      </c>
      <c r="AD14" s="65" t="s">
        <v>157</v>
      </c>
      <c r="AE14" s="65" t="s">
        <v>157</v>
      </c>
      <c r="AF14" s="65" t="s">
        <v>157</v>
      </c>
      <c r="AG14" s="162"/>
      <c r="AH14" s="65" t="s">
        <v>157</v>
      </c>
      <c r="AI14" s="65" t="s">
        <v>157</v>
      </c>
      <c r="AJ14" s="65" t="s">
        <v>157</v>
      </c>
      <c r="AK14" s="65" t="s">
        <v>157</v>
      </c>
      <c r="AL14" s="65" t="s">
        <v>157</v>
      </c>
      <c r="AM14" s="65" t="s">
        <v>157</v>
      </c>
      <c r="AN14" s="65" t="s">
        <v>157</v>
      </c>
      <c r="AO14" s="65" t="s">
        <v>157</v>
      </c>
      <c r="AP14" s="65" t="s">
        <v>157</v>
      </c>
      <c r="AQ14" s="65" t="s">
        <v>157</v>
      </c>
      <c r="AR14" s="65" t="s">
        <v>157</v>
      </c>
      <c r="AS14" s="118" t="s">
        <v>157</v>
      </c>
      <c r="AT14" s="65" t="s">
        <v>157</v>
      </c>
      <c r="AU14" s="65" t="s">
        <v>157</v>
      </c>
      <c r="AV14" s="65" t="s">
        <v>157</v>
      </c>
      <c r="AW14" s="65" t="s">
        <v>157</v>
      </c>
      <c r="AX14" s="65" t="s">
        <v>157</v>
      </c>
      <c r="AY14" s="65" t="s">
        <v>157</v>
      </c>
      <c r="AZ14" s="65" t="s">
        <v>157</v>
      </c>
      <c r="BA14" s="65" t="s">
        <v>157</v>
      </c>
      <c r="BB14" s="65" t="s">
        <v>157</v>
      </c>
      <c r="BC14" s="65" t="s">
        <v>157</v>
      </c>
      <c r="BD14" s="118" t="s">
        <v>157</v>
      </c>
      <c r="BE14" s="65" t="s">
        <v>157</v>
      </c>
      <c r="BF14" s="65" t="s">
        <v>157</v>
      </c>
      <c r="BG14" s="65" t="s">
        <v>157</v>
      </c>
      <c r="BH14" s="65" t="s">
        <v>157</v>
      </c>
      <c r="BI14" s="65" t="s">
        <v>157</v>
      </c>
      <c r="BJ14" s="65" t="s">
        <v>157</v>
      </c>
      <c r="BK14" s="65" t="s">
        <v>157</v>
      </c>
      <c r="BL14" s="65" t="s">
        <v>157</v>
      </c>
      <c r="BM14" s="65" t="s">
        <v>157</v>
      </c>
      <c r="BN14" s="65" t="s">
        <v>157</v>
      </c>
      <c r="BO14" s="65" t="s">
        <v>195</v>
      </c>
      <c r="BP14" s="65" t="s">
        <v>195</v>
      </c>
      <c r="BQ14" s="65" t="s">
        <v>195</v>
      </c>
      <c r="BR14" s="65" t="s">
        <v>195</v>
      </c>
      <c r="BS14" s="65" t="s">
        <v>195</v>
      </c>
      <c r="BT14" s="65" t="s">
        <v>195</v>
      </c>
      <c r="BU14" s="24" t="s">
        <v>195</v>
      </c>
      <c r="BV14" s="24" t="s">
        <v>195</v>
      </c>
      <c r="BW14" s="65" t="s">
        <v>195</v>
      </c>
      <c r="BX14" s="65" t="s">
        <v>195</v>
      </c>
      <c r="BY14" s="65" t="s">
        <v>195</v>
      </c>
      <c r="BZ14" s="65" t="s">
        <v>195</v>
      </c>
      <c r="CA14" s="65" t="s">
        <v>195</v>
      </c>
      <c r="CB14" s="65" t="s">
        <v>195</v>
      </c>
      <c r="CC14" s="65" t="s">
        <v>195</v>
      </c>
    </row>
    <row r="15" spans="1:81" s="27" customFormat="1" ht="15" x14ac:dyDescent="0.25">
      <c r="A15" s="24" t="s">
        <v>41</v>
      </c>
      <c r="B15" s="47" t="s">
        <v>156</v>
      </c>
      <c r="C15" s="83" t="s">
        <v>223</v>
      </c>
      <c r="D15" s="83" t="s">
        <v>224</v>
      </c>
      <c r="E15" s="83" t="s">
        <v>58</v>
      </c>
      <c r="F15" s="73" t="s">
        <v>173</v>
      </c>
      <c r="G15" s="56" t="s">
        <v>12</v>
      </c>
      <c r="H15" s="24" t="s">
        <v>28</v>
      </c>
      <c r="I15" s="24" t="s">
        <v>113</v>
      </c>
      <c r="J15" s="34" t="s">
        <v>78</v>
      </c>
      <c r="K15" s="24">
        <v>3</v>
      </c>
      <c r="L15" s="24" t="s">
        <v>116</v>
      </c>
      <c r="M15" s="104" t="s">
        <v>250</v>
      </c>
      <c r="N15" s="24"/>
      <c r="O15" s="25" t="s">
        <v>156</v>
      </c>
      <c r="P15" s="67" t="s">
        <v>159</v>
      </c>
      <c r="Q15" s="67" t="s">
        <v>159</v>
      </c>
      <c r="R15" s="67" t="s">
        <v>159</v>
      </c>
      <c r="S15" s="67" t="s">
        <v>250</v>
      </c>
      <c r="T15" s="67" t="s">
        <v>250</v>
      </c>
      <c r="U15" s="67" t="s">
        <v>250</v>
      </c>
      <c r="V15" s="67" t="s">
        <v>159</v>
      </c>
      <c r="W15" s="67" t="s">
        <v>159</v>
      </c>
      <c r="X15" s="122" t="s">
        <v>250</v>
      </c>
      <c r="Y15" s="67" t="s">
        <v>250</v>
      </c>
      <c r="Z15" s="67" t="s">
        <v>250</v>
      </c>
      <c r="AA15" s="67" t="s">
        <v>159</v>
      </c>
      <c r="AB15" s="67" t="s">
        <v>159</v>
      </c>
      <c r="AC15" s="122" t="s">
        <v>250</v>
      </c>
      <c r="AD15" s="67" t="s">
        <v>250</v>
      </c>
      <c r="AE15" s="67" t="s">
        <v>250</v>
      </c>
      <c r="AF15" s="67" t="s">
        <v>159</v>
      </c>
      <c r="AG15" s="162"/>
      <c r="AH15" s="67" t="s">
        <v>159</v>
      </c>
      <c r="AI15" s="67" t="s">
        <v>159</v>
      </c>
      <c r="AJ15" s="67" t="s">
        <v>159</v>
      </c>
      <c r="AK15" s="67" t="s">
        <v>250</v>
      </c>
      <c r="AL15" s="67" t="s">
        <v>159</v>
      </c>
      <c r="AM15" s="67" t="s">
        <v>159</v>
      </c>
      <c r="AN15" s="67" t="s">
        <v>250</v>
      </c>
      <c r="AO15" s="67" t="s">
        <v>250</v>
      </c>
      <c r="AP15" s="67" t="s">
        <v>250</v>
      </c>
      <c r="AQ15" s="67" t="s">
        <v>159</v>
      </c>
      <c r="AR15" s="67" t="s">
        <v>159</v>
      </c>
      <c r="AS15" s="122" t="s">
        <v>250</v>
      </c>
      <c r="AT15" s="67" t="s">
        <v>250</v>
      </c>
      <c r="AU15" s="67" t="s">
        <v>250</v>
      </c>
      <c r="AV15" s="67" t="s">
        <v>159</v>
      </c>
      <c r="AW15" s="67" t="s">
        <v>159</v>
      </c>
      <c r="AX15" s="67" t="s">
        <v>159</v>
      </c>
      <c r="AY15" s="67" t="s">
        <v>250</v>
      </c>
      <c r="AZ15" s="67" t="s">
        <v>250</v>
      </c>
      <c r="BA15" s="67" t="s">
        <v>250</v>
      </c>
      <c r="BB15" s="67" t="s">
        <v>159</v>
      </c>
      <c r="BC15" s="67" t="s">
        <v>159</v>
      </c>
      <c r="BD15" s="122" t="s">
        <v>250</v>
      </c>
      <c r="BE15" s="67" t="s">
        <v>250</v>
      </c>
      <c r="BF15" s="67" t="s">
        <v>250</v>
      </c>
      <c r="BG15" s="67" t="s">
        <v>159</v>
      </c>
      <c r="BH15" s="67" t="s">
        <v>159</v>
      </c>
      <c r="BI15" s="67" t="s">
        <v>250</v>
      </c>
      <c r="BJ15" s="67" t="s">
        <v>250</v>
      </c>
      <c r="BK15" s="67" t="s">
        <v>159</v>
      </c>
      <c r="BL15" s="67" t="s">
        <v>250</v>
      </c>
      <c r="BM15" s="67" t="s">
        <v>250</v>
      </c>
      <c r="BN15" s="67" t="s">
        <v>250</v>
      </c>
      <c r="BO15" s="67" t="s">
        <v>326</v>
      </c>
      <c r="BP15" s="67" t="s">
        <v>305</v>
      </c>
      <c r="BQ15" s="67" t="s">
        <v>289</v>
      </c>
      <c r="BR15" s="67" t="s">
        <v>305</v>
      </c>
      <c r="BS15" s="67" t="s">
        <v>310</v>
      </c>
      <c r="BT15" s="67" t="s">
        <v>310</v>
      </c>
      <c r="BU15" s="110" t="s">
        <v>331</v>
      </c>
      <c r="BV15" s="110" t="s">
        <v>345</v>
      </c>
      <c r="BW15" s="67"/>
      <c r="BX15" s="67" t="s">
        <v>326</v>
      </c>
      <c r="BY15" s="67" t="s">
        <v>305</v>
      </c>
      <c r="BZ15" s="67" t="s">
        <v>289</v>
      </c>
      <c r="CA15" s="67" t="s">
        <v>310</v>
      </c>
      <c r="CB15" s="67" t="s">
        <v>310</v>
      </c>
      <c r="CC15" s="67" t="s">
        <v>310</v>
      </c>
    </row>
    <row r="16" spans="1:81" s="27" customFormat="1" ht="15" x14ac:dyDescent="0.25">
      <c r="A16" s="24" t="s">
        <v>40</v>
      </c>
      <c r="B16" s="47" t="s">
        <v>140</v>
      </c>
      <c r="C16" s="83" t="s">
        <v>225</v>
      </c>
      <c r="D16" s="83" t="s">
        <v>226</v>
      </c>
      <c r="E16" s="83" t="s">
        <v>58</v>
      </c>
      <c r="F16" s="73" t="s">
        <v>173</v>
      </c>
      <c r="G16" s="56" t="s">
        <v>12</v>
      </c>
      <c r="H16" s="24" t="s">
        <v>28</v>
      </c>
      <c r="I16" s="24" t="s">
        <v>113</v>
      </c>
      <c r="J16" s="34" t="s">
        <v>79</v>
      </c>
      <c r="K16" s="24">
        <v>2</v>
      </c>
      <c r="L16" s="24" t="s">
        <v>123</v>
      </c>
      <c r="M16" s="47" t="s">
        <v>158</v>
      </c>
      <c r="N16" s="24"/>
      <c r="O16" s="25" t="s">
        <v>140</v>
      </c>
      <c r="P16" s="65" t="s">
        <v>158</v>
      </c>
      <c r="Q16" s="65" t="s">
        <v>158</v>
      </c>
      <c r="R16" s="65" t="s">
        <v>158</v>
      </c>
      <c r="S16" s="65" t="s">
        <v>158</v>
      </c>
      <c r="T16" s="65" t="s">
        <v>158</v>
      </c>
      <c r="U16" s="65" t="s">
        <v>158</v>
      </c>
      <c r="V16" s="65" t="s">
        <v>158</v>
      </c>
      <c r="W16" s="65" t="s">
        <v>158</v>
      </c>
      <c r="X16" s="118" t="s">
        <v>158</v>
      </c>
      <c r="Y16" s="65" t="s">
        <v>158</v>
      </c>
      <c r="Z16" s="65" t="s">
        <v>158</v>
      </c>
      <c r="AA16" s="65" t="s">
        <v>158</v>
      </c>
      <c r="AB16" s="65" t="s">
        <v>158</v>
      </c>
      <c r="AC16" s="118" t="s">
        <v>158</v>
      </c>
      <c r="AD16" s="65" t="s">
        <v>158</v>
      </c>
      <c r="AE16" s="65" t="s">
        <v>158</v>
      </c>
      <c r="AF16" s="65" t="s">
        <v>158</v>
      </c>
      <c r="AG16" s="162"/>
      <c r="AH16" s="65" t="s">
        <v>158</v>
      </c>
      <c r="AI16" s="65" t="s">
        <v>158</v>
      </c>
      <c r="AJ16" s="65" t="s">
        <v>158</v>
      </c>
      <c r="AK16" s="65" t="s">
        <v>158</v>
      </c>
      <c r="AL16" s="65" t="s">
        <v>158</v>
      </c>
      <c r="AM16" s="65" t="s">
        <v>158</v>
      </c>
      <c r="AN16" s="65" t="s">
        <v>158</v>
      </c>
      <c r="AO16" s="65" t="s">
        <v>158</v>
      </c>
      <c r="AP16" s="65" t="s">
        <v>158</v>
      </c>
      <c r="AQ16" s="65" t="s">
        <v>158</v>
      </c>
      <c r="AR16" s="65" t="s">
        <v>158</v>
      </c>
      <c r="AS16" s="118" t="s">
        <v>158</v>
      </c>
      <c r="AT16" s="65" t="s">
        <v>158</v>
      </c>
      <c r="AU16" s="65" t="s">
        <v>158</v>
      </c>
      <c r="AV16" s="65" t="s">
        <v>158</v>
      </c>
      <c r="AW16" s="65" t="s">
        <v>158</v>
      </c>
      <c r="AX16" s="65" t="s">
        <v>158</v>
      </c>
      <c r="AY16" s="65" t="s">
        <v>158</v>
      </c>
      <c r="AZ16" s="65" t="s">
        <v>158</v>
      </c>
      <c r="BA16" s="65" t="s">
        <v>158</v>
      </c>
      <c r="BB16" s="65" t="s">
        <v>158</v>
      </c>
      <c r="BC16" s="65" t="s">
        <v>158</v>
      </c>
      <c r="BD16" s="118" t="s">
        <v>158</v>
      </c>
      <c r="BE16" s="65" t="s">
        <v>158</v>
      </c>
      <c r="BF16" s="65" t="s">
        <v>158</v>
      </c>
      <c r="BG16" s="65" t="s">
        <v>158</v>
      </c>
      <c r="BH16" s="65" t="s">
        <v>158</v>
      </c>
      <c r="BI16" s="65" t="s">
        <v>158</v>
      </c>
      <c r="BJ16" s="65" t="s">
        <v>158</v>
      </c>
      <c r="BK16" s="65" t="s">
        <v>158</v>
      </c>
      <c r="BL16" s="65" t="s">
        <v>158</v>
      </c>
      <c r="BM16" s="65" t="s">
        <v>158</v>
      </c>
      <c r="BN16" s="65" t="s">
        <v>158</v>
      </c>
      <c r="BO16" s="65" t="s">
        <v>199</v>
      </c>
      <c r="BP16" s="65" t="s">
        <v>199</v>
      </c>
      <c r="BQ16" s="65" t="s">
        <v>199</v>
      </c>
      <c r="BR16" s="65" t="s">
        <v>199</v>
      </c>
      <c r="BS16" s="65" t="s">
        <v>199</v>
      </c>
      <c r="BT16" s="65" t="s">
        <v>199</v>
      </c>
      <c r="BU16" s="24" t="s">
        <v>199</v>
      </c>
      <c r="BV16" s="24" t="s">
        <v>199</v>
      </c>
      <c r="BW16" s="65" t="s">
        <v>199</v>
      </c>
      <c r="BX16" s="65" t="s">
        <v>199</v>
      </c>
      <c r="BY16" s="65" t="s">
        <v>199</v>
      </c>
      <c r="BZ16" s="65" t="s">
        <v>199</v>
      </c>
      <c r="CA16" s="65" t="s">
        <v>199</v>
      </c>
      <c r="CB16" s="65" t="s">
        <v>199</v>
      </c>
      <c r="CC16" s="65" t="s">
        <v>199</v>
      </c>
    </row>
    <row r="17" spans="1:81" s="27" customFormat="1" ht="15" x14ac:dyDescent="0.25">
      <c r="A17" s="24" t="s">
        <v>39</v>
      </c>
      <c r="B17" s="47" t="s">
        <v>155</v>
      </c>
      <c r="C17" s="83" t="s">
        <v>227</v>
      </c>
      <c r="D17" s="83" t="s">
        <v>228</v>
      </c>
      <c r="E17" s="83" t="s">
        <v>58</v>
      </c>
      <c r="F17" s="73" t="s">
        <v>173</v>
      </c>
      <c r="G17" s="56" t="s">
        <v>12</v>
      </c>
      <c r="H17" s="24" t="s">
        <v>28</v>
      </c>
      <c r="I17" s="24" t="s">
        <v>113</v>
      </c>
      <c r="J17" s="34" t="s">
        <v>78</v>
      </c>
      <c r="K17" s="24">
        <v>3</v>
      </c>
      <c r="L17" s="24" t="s">
        <v>116</v>
      </c>
      <c r="M17" s="104" t="s">
        <v>349</v>
      </c>
      <c r="N17" s="24"/>
      <c r="O17" s="25" t="s">
        <v>155</v>
      </c>
      <c r="P17" s="67" t="s">
        <v>159</v>
      </c>
      <c r="Q17" s="67" t="s">
        <v>159</v>
      </c>
      <c r="R17" s="67" t="s">
        <v>159</v>
      </c>
      <c r="S17" s="67" t="s">
        <v>349</v>
      </c>
      <c r="T17" s="67" t="s">
        <v>349</v>
      </c>
      <c r="U17" s="67" t="s">
        <v>349</v>
      </c>
      <c r="V17" s="67" t="s">
        <v>159</v>
      </c>
      <c r="W17" s="67" t="s">
        <v>159</v>
      </c>
      <c r="X17" s="122" t="s">
        <v>349</v>
      </c>
      <c r="Y17" s="67" t="s">
        <v>349</v>
      </c>
      <c r="Z17" s="67" t="s">
        <v>349</v>
      </c>
      <c r="AA17" s="67" t="s">
        <v>159</v>
      </c>
      <c r="AB17" s="67" t="s">
        <v>159</v>
      </c>
      <c r="AC17" s="122" t="s">
        <v>349</v>
      </c>
      <c r="AD17" s="67" t="s">
        <v>349</v>
      </c>
      <c r="AE17" s="67" t="s">
        <v>349</v>
      </c>
      <c r="AF17" s="67" t="s">
        <v>159</v>
      </c>
      <c r="AG17" s="162"/>
      <c r="AH17" s="67" t="s">
        <v>159</v>
      </c>
      <c r="AI17" s="67" t="s">
        <v>159</v>
      </c>
      <c r="AJ17" s="67" t="s">
        <v>159</v>
      </c>
      <c r="AK17" s="67" t="s">
        <v>349</v>
      </c>
      <c r="AL17" s="67" t="s">
        <v>159</v>
      </c>
      <c r="AM17" s="67" t="s">
        <v>159</v>
      </c>
      <c r="AN17" s="67" t="s">
        <v>349</v>
      </c>
      <c r="AO17" s="67" t="s">
        <v>349</v>
      </c>
      <c r="AP17" s="67" t="s">
        <v>349</v>
      </c>
      <c r="AQ17" s="67" t="s">
        <v>159</v>
      </c>
      <c r="AR17" s="67" t="s">
        <v>159</v>
      </c>
      <c r="AS17" s="122" t="s">
        <v>349</v>
      </c>
      <c r="AT17" s="67" t="s">
        <v>349</v>
      </c>
      <c r="AU17" s="67" t="s">
        <v>349</v>
      </c>
      <c r="AV17" s="67" t="s">
        <v>159</v>
      </c>
      <c r="AW17" s="67" t="s">
        <v>159</v>
      </c>
      <c r="AX17" s="67" t="s">
        <v>159</v>
      </c>
      <c r="AY17" s="67" t="s">
        <v>349</v>
      </c>
      <c r="AZ17" s="67" t="s">
        <v>349</v>
      </c>
      <c r="BA17" s="67" t="s">
        <v>349</v>
      </c>
      <c r="BB17" s="67" t="s">
        <v>159</v>
      </c>
      <c r="BC17" s="67" t="s">
        <v>159</v>
      </c>
      <c r="BD17" s="122" t="s">
        <v>349</v>
      </c>
      <c r="BE17" s="67" t="s">
        <v>349</v>
      </c>
      <c r="BF17" s="67" t="s">
        <v>349</v>
      </c>
      <c r="BG17" s="67" t="s">
        <v>159</v>
      </c>
      <c r="BH17" s="67" t="s">
        <v>159</v>
      </c>
      <c r="BI17" s="67" t="s">
        <v>349</v>
      </c>
      <c r="BJ17" s="67" t="s">
        <v>349</v>
      </c>
      <c r="BK17" s="67" t="s">
        <v>159</v>
      </c>
      <c r="BL17" s="67" t="s">
        <v>349</v>
      </c>
      <c r="BM17" s="67" t="s">
        <v>349</v>
      </c>
      <c r="BN17" s="67" t="s">
        <v>349</v>
      </c>
      <c r="BO17" s="67" t="s">
        <v>326</v>
      </c>
      <c r="BP17" s="67" t="s">
        <v>306</v>
      </c>
      <c r="BQ17" s="67" t="s">
        <v>289</v>
      </c>
      <c r="BR17" s="67" t="s">
        <v>306</v>
      </c>
      <c r="BS17" s="67" t="s">
        <v>311</v>
      </c>
      <c r="BT17" s="67" t="s">
        <v>311</v>
      </c>
      <c r="BU17" s="110" t="s">
        <v>250</v>
      </c>
      <c r="BV17" s="110" t="s">
        <v>345</v>
      </c>
      <c r="BW17" s="67"/>
      <c r="BX17" s="67" t="s">
        <v>326</v>
      </c>
      <c r="BY17" s="67" t="s">
        <v>306</v>
      </c>
      <c r="BZ17" s="67" t="s">
        <v>289</v>
      </c>
      <c r="CA17" s="67" t="s">
        <v>311</v>
      </c>
      <c r="CB17" s="67" t="s">
        <v>311</v>
      </c>
      <c r="CC17" s="67" t="s">
        <v>311</v>
      </c>
    </row>
    <row r="18" spans="1:81" s="27" customFormat="1" ht="14.25" customHeight="1" x14ac:dyDescent="0.25">
      <c r="A18" s="24" t="s">
        <v>38</v>
      </c>
      <c r="B18" s="47" t="s">
        <v>151</v>
      </c>
      <c r="C18" s="83" t="s">
        <v>229</v>
      </c>
      <c r="D18" s="83" t="s">
        <v>230</v>
      </c>
      <c r="E18" s="83" t="s">
        <v>58</v>
      </c>
      <c r="F18" s="24" t="s">
        <v>166</v>
      </c>
      <c r="G18" s="56" t="s">
        <v>12</v>
      </c>
      <c r="H18" s="24" t="s">
        <v>28</v>
      </c>
      <c r="I18" s="24" t="s">
        <v>113</v>
      </c>
      <c r="J18" s="34" t="s">
        <v>78</v>
      </c>
      <c r="K18" s="59">
        <v>8</v>
      </c>
      <c r="L18" s="24" t="s">
        <v>123</v>
      </c>
      <c r="M18" s="70" t="s">
        <v>266</v>
      </c>
      <c r="N18" s="23"/>
      <c r="O18" s="25" t="s">
        <v>151</v>
      </c>
      <c r="P18" s="69" t="s">
        <v>161</v>
      </c>
      <c r="Q18" s="69" t="s">
        <v>161</v>
      </c>
      <c r="R18" s="69" t="s">
        <v>161</v>
      </c>
      <c r="S18" s="69" t="s">
        <v>266</v>
      </c>
      <c r="T18" s="69" t="s">
        <v>266</v>
      </c>
      <c r="U18" s="69" t="s">
        <v>266</v>
      </c>
      <c r="V18" s="69" t="s">
        <v>161</v>
      </c>
      <c r="W18" s="69" t="s">
        <v>161</v>
      </c>
      <c r="X18" s="123" t="s">
        <v>266</v>
      </c>
      <c r="Y18" s="69" t="s">
        <v>266</v>
      </c>
      <c r="Z18" s="69" t="s">
        <v>266</v>
      </c>
      <c r="AA18" s="69" t="s">
        <v>161</v>
      </c>
      <c r="AB18" s="69" t="s">
        <v>161</v>
      </c>
      <c r="AC18" s="123" t="s">
        <v>266</v>
      </c>
      <c r="AD18" s="69" t="s">
        <v>266</v>
      </c>
      <c r="AE18" s="69" t="s">
        <v>266</v>
      </c>
      <c r="AF18" s="69" t="s">
        <v>161</v>
      </c>
      <c r="AG18" s="162"/>
      <c r="AH18" s="69" t="s">
        <v>161</v>
      </c>
      <c r="AI18" s="69" t="s">
        <v>161</v>
      </c>
      <c r="AJ18" s="69" t="s">
        <v>161</v>
      </c>
      <c r="AK18" s="69" t="s">
        <v>266</v>
      </c>
      <c r="AL18" s="69" t="s">
        <v>161</v>
      </c>
      <c r="AM18" s="69" t="s">
        <v>161</v>
      </c>
      <c r="AN18" s="69" t="s">
        <v>266</v>
      </c>
      <c r="AO18" s="69" t="s">
        <v>266</v>
      </c>
      <c r="AP18" s="69" t="s">
        <v>266</v>
      </c>
      <c r="AQ18" s="69" t="s">
        <v>161</v>
      </c>
      <c r="AR18" s="69" t="s">
        <v>161</v>
      </c>
      <c r="AS18" s="123" t="s">
        <v>266</v>
      </c>
      <c r="AT18" s="69" t="s">
        <v>266</v>
      </c>
      <c r="AU18" s="69" t="s">
        <v>266</v>
      </c>
      <c r="AV18" s="69" t="s">
        <v>161</v>
      </c>
      <c r="AW18" s="69" t="s">
        <v>161</v>
      </c>
      <c r="AX18" s="69" t="s">
        <v>161</v>
      </c>
      <c r="AY18" s="69" t="s">
        <v>266</v>
      </c>
      <c r="AZ18" s="69" t="s">
        <v>266</v>
      </c>
      <c r="BA18" s="69" t="s">
        <v>266</v>
      </c>
      <c r="BB18" s="69" t="s">
        <v>161</v>
      </c>
      <c r="BC18" s="69" t="s">
        <v>161</v>
      </c>
      <c r="BD18" s="123" t="s">
        <v>266</v>
      </c>
      <c r="BE18" s="69" t="s">
        <v>266</v>
      </c>
      <c r="BF18" s="69" t="s">
        <v>266</v>
      </c>
      <c r="BG18" s="69" t="s">
        <v>161</v>
      </c>
      <c r="BH18" s="69" t="s">
        <v>161</v>
      </c>
      <c r="BI18" s="69" t="s">
        <v>266</v>
      </c>
      <c r="BJ18" s="69" t="s">
        <v>266</v>
      </c>
      <c r="BK18" s="69" t="s">
        <v>161</v>
      </c>
      <c r="BL18" s="69" t="s">
        <v>266</v>
      </c>
      <c r="BM18" s="69" t="s">
        <v>266</v>
      </c>
      <c r="BN18" s="69" t="s">
        <v>266</v>
      </c>
      <c r="BO18" s="69" t="s">
        <v>203</v>
      </c>
      <c r="BP18" s="69" t="s">
        <v>307</v>
      </c>
      <c r="BQ18" s="69" t="s">
        <v>290</v>
      </c>
      <c r="BR18" s="69" t="s">
        <v>307</v>
      </c>
      <c r="BS18" s="69" t="s">
        <v>312</v>
      </c>
      <c r="BT18" s="69" t="s">
        <v>312</v>
      </c>
      <c r="BU18" s="22" t="s">
        <v>332</v>
      </c>
      <c r="BV18" s="22" t="s">
        <v>346</v>
      </c>
      <c r="BW18" s="69"/>
      <c r="BX18" s="69" t="s">
        <v>203</v>
      </c>
      <c r="BY18" s="69" t="s">
        <v>307</v>
      </c>
      <c r="BZ18" s="69" t="s">
        <v>290</v>
      </c>
      <c r="CA18" s="69" t="s">
        <v>312</v>
      </c>
      <c r="CB18" s="69" t="s">
        <v>312</v>
      </c>
      <c r="CC18" s="69" t="s">
        <v>312</v>
      </c>
    </row>
    <row r="19" spans="1:81" s="27" customFormat="1" ht="15" x14ac:dyDescent="0.25">
      <c r="A19" s="24" t="s">
        <v>37</v>
      </c>
      <c r="B19" s="47" t="s">
        <v>152</v>
      </c>
      <c r="C19" s="83" t="s">
        <v>231</v>
      </c>
      <c r="D19" s="83" t="s">
        <v>232</v>
      </c>
      <c r="E19" s="83" t="s">
        <v>58</v>
      </c>
      <c r="F19" s="24" t="s">
        <v>166</v>
      </c>
      <c r="G19" s="56" t="s">
        <v>12</v>
      </c>
      <c r="H19" s="24" t="s">
        <v>28</v>
      </c>
      <c r="I19" s="24" t="s">
        <v>113</v>
      </c>
      <c r="J19" s="34" t="s">
        <v>78</v>
      </c>
      <c r="K19" s="59">
        <v>8</v>
      </c>
      <c r="L19" s="24" t="s">
        <v>123</v>
      </c>
      <c r="M19" s="71" t="s">
        <v>265</v>
      </c>
      <c r="N19" s="23"/>
      <c r="O19" s="25" t="s">
        <v>152</v>
      </c>
      <c r="P19" s="69" t="s">
        <v>160</v>
      </c>
      <c r="Q19" s="69" t="s">
        <v>160</v>
      </c>
      <c r="R19" s="69" t="s">
        <v>160</v>
      </c>
      <c r="S19" s="69" t="s">
        <v>265</v>
      </c>
      <c r="T19" s="69" t="s">
        <v>265</v>
      </c>
      <c r="U19" s="69" t="s">
        <v>265</v>
      </c>
      <c r="V19" s="69" t="s">
        <v>160</v>
      </c>
      <c r="W19" s="69" t="s">
        <v>160</v>
      </c>
      <c r="X19" s="123" t="s">
        <v>265</v>
      </c>
      <c r="Y19" s="69" t="s">
        <v>265</v>
      </c>
      <c r="Z19" s="69" t="s">
        <v>265</v>
      </c>
      <c r="AA19" s="69" t="s">
        <v>160</v>
      </c>
      <c r="AB19" s="69" t="s">
        <v>160</v>
      </c>
      <c r="AC19" s="123" t="s">
        <v>265</v>
      </c>
      <c r="AD19" s="69" t="s">
        <v>265</v>
      </c>
      <c r="AE19" s="69" t="s">
        <v>265</v>
      </c>
      <c r="AF19" s="69" t="s">
        <v>160</v>
      </c>
      <c r="AG19" s="162"/>
      <c r="AH19" s="69" t="s">
        <v>160</v>
      </c>
      <c r="AI19" s="69" t="s">
        <v>160</v>
      </c>
      <c r="AJ19" s="69" t="s">
        <v>160</v>
      </c>
      <c r="AK19" s="69" t="s">
        <v>265</v>
      </c>
      <c r="AL19" s="69" t="s">
        <v>160</v>
      </c>
      <c r="AM19" s="69" t="s">
        <v>160</v>
      </c>
      <c r="AN19" s="69" t="s">
        <v>265</v>
      </c>
      <c r="AO19" s="69" t="s">
        <v>265</v>
      </c>
      <c r="AP19" s="69" t="s">
        <v>265</v>
      </c>
      <c r="AQ19" s="69" t="s">
        <v>160</v>
      </c>
      <c r="AR19" s="69" t="s">
        <v>160</v>
      </c>
      <c r="AS19" s="123" t="s">
        <v>265</v>
      </c>
      <c r="AT19" s="69" t="s">
        <v>265</v>
      </c>
      <c r="AU19" s="69" t="s">
        <v>265</v>
      </c>
      <c r="AV19" s="69" t="s">
        <v>160</v>
      </c>
      <c r="AW19" s="69" t="s">
        <v>160</v>
      </c>
      <c r="AX19" s="69" t="s">
        <v>160</v>
      </c>
      <c r="AY19" s="69" t="s">
        <v>265</v>
      </c>
      <c r="AZ19" s="69" t="s">
        <v>265</v>
      </c>
      <c r="BA19" s="69" t="s">
        <v>265</v>
      </c>
      <c r="BB19" s="69" t="s">
        <v>160</v>
      </c>
      <c r="BC19" s="69" t="s">
        <v>160</v>
      </c>
      <c r="BD19" s="123" t="s">
        <v>265</v>
      </c>
      <c r="BE19" s="69" t="s">
        <v>265</v>
      </c>
      <c r="BF19" s="69" t="s">
        <v>265</v>
      </c>
      <c r="BG19" s="69" t="s">
        <v>160</v>
      </c>
      <c r="BH19" s="69" t="s">
        <v>160</v>
      </c>
      <c r="BI19" s="69" t="s">
        <v>265</v>
      </c>
      <c r="BJ19" s="69" t="s">
        <v>265</v>
      </c>
      <c r="BK19" s="69" t="s">
        <v>160</v>
      </c>
      <c r="BL19" s="69" t="s">
        <v>265</v>
      </c>
      <c r="BM19" s="69" t="s">
        <v>265</v>
      </c>
      <c r="BN19" s="69" t="s">
        <v>265</v>
      </c>
      <c r="BO19" s="69" t="s">
        <v>202</v>
      </c>
      <c r="BP19" s="69" t="s">
        <v>303</v>
      </c>
      <c r="BQ19" s="69" t="s">
        <v>287</v>
      </c>
      <c r="BR19" s="69" t="s">
        <v>303</v>
      </c>
      <c r="BS19" s="67" t="s">
        <v>309</v>
      </c>
      <c r="BT19" s="67" t="s">
        <v>309</v>
      </c>
      <c r="BU19" s="67" t="s">
        <v>333</v>
      </c>
      <c r="BV19" s="67" t="s">
        <v>341</v>
      </c>
      <c r="BW19" s="69"/>
      <c r="BX19" s="69" t="s">
        <v>202</v>
      </c>
      <c r="BY19" s="69" t="s">
        <v>303</v>
      </c>
      <c r="BZ19" s="69" t="s">
        <v>287</v>
      </c>
      <c r="CA19" s="67" t="s">
        <v>309</v>
      </c>
      <c r="CB19" s="67" t="s">
        <v>309</v>
      </c>
      <c r="CC19" s="67" t="s">
        <v>309</v>
      </c>
    </row>
    <row r="20" spans="1:81" s="27" customFormat="1" ht="15" x14ac:dyDescent="0.25">
      <c r="A20" s="24" t="s">
        <v>35</v>
      </c>
      <c r="B20" s="47" t="s">
        <v>162</v>
      </c>
      <c r="C20" s="83" t="s">
        <v>233</v>
      </c>
      <c r="D20" s="84" t="s">
        <v>234</v>
      </c>
      <c r="E20" s="83" t="s">
        <v>58</v>
      </c>
      <c r="F20" s="24" t="s">
        <v>166</v>
      </c>
      <c r="G20" s="56" t="s">
        <v>12</v>
      </c>
      <c r="H20" s="24" t="s">
        <v>28</v>
      </c>
      <c r="I20" s="24" t="s">
        <v>113</v>
      </c>
      <c r="J20" s="34" t="s">
        <v>78</v>
      </c>
      <c r="K20" s="59">
        <v>8</v>
      </c>
      <c r="L20" s="24" t="s">
        <v>141</v>
      </c>
      <c r="M20" s="72" t="s">
        <v>264</v>
      </c>
      <c r="N20" s="23"/>
      <c r="O20" s="25" t="s">
        <v>169</v>
      </c>
      <c r="P20" s="67" t="s">
        <v>164</v>
      </c>
      <c r="Q20" s="67" t="s">
        <v>164</v>
      </c>
      <c r="R20" s="67" t="s">
        <v>164</v>
      </c>
      <c r="S20" s="67" t="s">
        <v>264</v>
      </c>
      <c r="T20" s="67" t="s">
        <v>264</v>
      </c>
      <c r="U20" s="67" t="s">
        <v>264</v>
      </c>
      <c r="V20" s="67" t="s">
        <v>164</v>
      </c>
      <c r="W20" s="67" t="s">
        <v>164</v>
      </c>
      <c r="X20" s="122" t="s">
        <v>264</v>
      </c>
      <c r="Y20" s="67" t="s">
        <v>264</v>
      </c>
      <c r="Z20" s="67" t="s">
        <v>264</v>
      </c>
      <c r="AA20" s="67" t="s">
        <v>164</v>
      </c>
      <c r="AB20" s="67" t="s">
        <v>164</v>
      </c>
      <c r="AC20" s="122" t="s">
        <v>264</v>
      </c>
      <c r="AD20" s="67" t="s">
        <v>264</v>
      </c>
      <c r="AE20" s="67" t="s">
        <v>264</v>
      </c>
      <c r="AF20" s="67" t="s">
        <v>164</v>
      </c>
      <c r="AG20" s="162"/>
      <c r="AH20" s="67" t="s">
        <v>164</v>
      </c>
      <c r="AI20" s="67" t="s">
        <v>164</v>
      </c>
      <c r="AJ20" s="67" t="s">
        <v>164</v>
      </c>
      <c r="AK20" s="67" t="s">
        <v>264</v>
      </c>
      <c r="AL20" s="67" t="s">
        <v>164</v>
      </c>
      <c r="AM20" s="67" t="s">
        <v>164</v>
      </c>
      <c r="AN20" s="67" t="s">
        <v>264</v>
      </c>
      <c r="AO20" s="67" t="s">
        <v>264</v>
      </c>
      <c r="AP20" s="67" t="s">
        <v>264</v>
      </c>
      <c r="AQ20" s="67" t="s">
        <v>164</v>
      </c>
      <c r="AR20" s="67" t="s">
        <v>164</v>
      </c>
      <c r="AS20" s="122" t="s">
        <v>264</v>
      </c>
      <c r="AT20" s="67" t="s">
        <v>264</v>
      </c>
      <c r="AU20" s="67" t="s">
        <v>264</v>
      </c>
      <c r="AV20" s="67" t="s">
        <v>164</v>
      </c>
      <c r="AW20" s="67" t="s">
        <v>164</v>
      </c>
      <c r="AX20" s="67" t="s">
        <v>164</v>
      </c>
      <c r="AY20" s="67" t="s">
        <v>264</v>
      </c>
      <c r="AZ20" s="67" t="s">
        <v>264</v>
      </c>
      <c r="BA20" s="67" t="s">
        <v>264</v>
      </c>
      <c r="BB20" s="67" t="s">
        <v>164</v>
      </c>
      <c r="BC20" s="67" t="s">
        <v>164</v>
      </c>
      <c r="BD20" s="122" t="s">
        <v>264</v>
      </c>
      <c r="BE20" s="67" t="s">
        <v>264</v>
      </c>
      <c r="BF20" s="67" t="s">
        <v>264</v>
      </c>
      <c r="BG20" s="67" t="s">
        <v>164</v>
      </c>
      <c r="BH20" s="67" t="s">
        <v>164</v>
      </c>
      <c r="BI20" s="67" t="s">
        <v>264</v>
      </c>
      <c r="BJ20" s="67" t="s">
        <v>264</v>
      </c>
      <c r="BK20" s="67" t="s">
        <v>164</v>
      </c>
      <c r="BL20" s="67" t="s">
        <v>264</v>
      </c>
      <c r="BM20" s="67" t="s">
        <v>264</v>
      </c>
      <c r="BN20" s="67" t="s">
        <v>264</v>
      </c>
      <c r="BO20" s="67" t="s">
        <v>204</v>
      </c>
      <c r="BP20" s="67" t="s">
        <v>291</v>
      </c>
      <c r="BQ20" s="67" t="s">
        <v>291</v>
      </c>
      <c r="BR20" s="67" t="s">
        <v>291</v>
      </c>
      <c r="BS20" s="67" t="s">
        <v>291</v>
      </c>
      <c r="BT20" s="67" t="s">
        <v>291</v>
      </c>
      <c r="BU20" s="101" t="s">
        <v>291</v>
      </c>
      <c r="BV20" s="101" t="s">
        <v>347</v>
      </c>
      <c r="BW20" s="67"/>
      <c r="BX20" s="67" t="s">
        <v>204</v>
      </c>
      <c r="BY20" s="67" t="s">
        <v>291</v>
      </c>
      <c r="BZ20" s="67" t="s">
        <v>291</v>
      </c>
      <c r="CA20" s="67" t="s">
        <v>291</v>
      </c>
      <c r="CB20" s="67" t="s">
        <v>291</v>
      </c>
      <c r="CC20" s="67" t="s">
        <v>291</v>
      </c>
    </row>
    <row r="21" spans="1:81" ht="15" x14ac:dyDescent="0.2">
      <c r="A21" s="24" t="s">
        <v>34</v>
      </c>
      <c r="B21" s="47" t="s">
        <v>153</v>
      </c>
      <c r="C21" s="83" t="s">
        <v>235</v>
      </c>
      <c r="D21" s="83" t="s">
        <v>236</v>
      </c>
      <c r="E21" s="83" t="s">
        <v>58</v>
      </c>
      <c r="F21" s="24" t="s">
        <v>166</v>
      </c>
      <c r="G21" s="56" t="s">
        <v>12</v>
      </c>
      <c r="H21" s="24" t="s">
        <v>28</v>
      </c>
      <c r="I21" s="24" t="s">
        <v>113</v>
      </c>
      <c r="J21" s="34" t="s">
        <v>78</v>
      </c>
      <c r="K21" s="59">
        <v>3</v>
      </c>
      <c r="L21" s="24" t="s">
        <v>123</v>
      </c>
      <c r="M21" s="70" t="s">
        <v>142</v>
      </c>
      <c r="N21" s="23"/>
      <c r="O21" s="25" t="s">
        <v>168</v>
      </c>
      <c r="P21" s="69" t="s">
        <v>142</v>
      </c>
      <c r="Q21" s="69" t="s">
        <v>142</v>
      </c>
      <c r="R21" s="69" t="s">
        <v>142</v>
      </c>
      <c r="S21" s="69" t="s">
        <v>142</v>
      </c>
      <c r="T21" s="69" t="s">
        <v>142</v>
      </c>
      <c r="U21" s="69" t="s">
        <v>142</v>
      </c>
      <c r="V21" s="69" t="s">
        <v>142</v>
      </c>
      <c r="W21" s="69" t="s">
        <v>142</v>
      </c>
      <c r="X21" s="123" t="s">
        <v>142</v>
      </c>
      <c r="Y21" s="69" t="s">
        <v>142</v>
      </c>
      <c r="Z21" s="69" t="s">
        <v>142</v>
      </c>
      <c r="AA21" s="69" t="s">
        <v>142</v>
      </c>
      <c r="AB21" s="69" t="s">
        <v>142</v>
      </c>
      <c r="AC21" s="123" t="s">
        <v>142</v>
      </c>
      <c r="AD21" s="69" t="s">
        <v>142</v>
      </c>
      <c r="AE21" s="69" t="s">
        <v>142</v>
      </c>
      <c r="AF21" s="69" t="s">
        <v>142</v>
      </c>
      <c r="AG21" s="163"/>
      <c r="AH21" s="69" t="s">
        <v>142</v>
      </c>
      <c r="AI21" s="69" t="s">
        <v>142</v>
      </c>
      <c r="AJ21" s="69" t="s">
        <v>142</v>
      </c>
      <c r="AK21" s="69" t="s">
        <v>142</v>
      </c>
      <c r="AL21" s="69" t="s">
        <v>142</v>
      </c>
      <c r="AM21" s="69" t="s">
        <v>142</v>
      </c>
      <c r="AN21" s="69" t="s">
        <v>142</v>
      </c>
      <c r="AO21" s="69" t="s">
        <v>142</v>
      </c>
      <c r="AP21" s="69" t="s">
        <v>142</v>
      </c>
      <c r="AQ21" s="69" t="s">
        <v>142</v>
      </c>
      <c r="AR21" s="69" t="s">
        <v>142</v>
      </c>
      <c r="AS21" s="123" t="s">
        <v>142</v>
      </c>
      <c r="AT21" s="69" t="s">
        <v>142</v>
      </c>
      <c r="AU21" s="69" t="s">
        <v>142</v>
      </c>
      <c r="AV21" s="69" t="s">
        <v>142</v>
      </c>
      <c r="AW21" s="69" t="s">
        <v>142</v>
      </c>
      <c r="AX21" s="69" t="s">
        <v>142</v>
      </c>
      <c r="AY21" s="69" t="s">
        <v>142</v>
      </c>
      <c r="AZ21" s="69" t="s">
        <v>142</v>
      </c>
      <c r="BA21" s="69" t="s">
        <v>142</v>
      </c>
      <c r="BB21" s="69" t="s">
        <v>142</v>
      </c>
      <c r="BC21" s="69" t="s">
        <v>142</v>
      </c>
      <c r="BD21" s="123" t="s">
        <v>142</v>
      </c>
      <c r="BE21" s="69" t="s">
        <v>142</v>
      </c>
      <c r="BF21" s="69" t="s">
        <v>142</v>
      </c>
      <c r="BG21" s="69" t="s">
        <v>142</v>
      </c>
      <c r="BH21" s="69" t="s">
        <v>142</v>
      </c>
      <c r="BI21" s="69" t="s">
        <v>142</v>
      </c>
      <c r="BJ21" s="69" t="s">
        <v>142</v>
      </c>
      <c r="BK21" s="69" t="s">
        <v>142</v>
      </c>
      <c r="BL21" s="69" t="s">
        <v>142</v>
      </c>
      <c r="BM21" s="69" t="s">
        <v>142</v>
      </c>
      <c r="BN21" s="69" t="s">
        <v>142</v>
      </c>
      <c r="BO21" s="69" t="s">
        <v>142</v>
      </c>
      <c r="BP21" s="69" t="s">
        <v>142</v>
      </c>
      <c r="BQ21" s="69" t="s">
        <v>142</v>
      </c>
      <c r="BR21" s="69" t="s">
        <v>142</v>
      </c>
      <c r="BS21" s="69" t="s">
        <v>142</v>
      </c>
      <c r="BT21" s="69" t="s">
        <v>142</v>
      </c>
      <c r="BU21" s="22" t="s">
        <v>142</v>
      </c>
      <c r="BV21" s="22" t="s">
        <v>142</v>
      </c>
      <c r="BW21" s="69"/>
      <c r="BX21" s="69" t="s">
        <v>142</v>
      </c>
      <c r="BY21" s="69" t="s">
        <v>142</v>
      </c>
      <c r="BZ21" s="69" t="s">
        <v>142</v>
      </c>
      <c r="CA21" s="69" t="s">
        <v>142</v>
      </c>
      <c r="CB21" s="69" t="s">
        <v>142</v>
      </c>
      <c r="CC21" s="69" t="s">
        <v>142</v>
      </c>
    </row>
    <row r="22" spans="1:81" x14ac:dyDescent="0.2">
      <c r="BU22" s="102"/>
      <c r="BV22" s="102" t="s">
        <v>343</v>
      </c>
      <c r="BW22" s="111" t="s">
        <v>328</v>
      </c>
    </row>
    <row r="23" spans="1:81" x14ac:dyDescent="0.2">
      <c r="A23" s="99" t="s">
        <v>351</v>
      </c>
      <c r="B23" s="100"/>
    </row>
    <row r="24" spans="1:81" x14ac:dyDescent="0.2">
      <c r="A24" s="21" t="s">
        <v>350</v>
      </c>
      <c r="B24" s="20" t="s">
        <v>190</v>
      </c>
      <c r="C24" s="20"/>
      <c r="D24" s="20"/>
    </row>
    <row r="25" spans="1:81" x14ac:dyDescent="0.2">
      <c r="A25" s="21"/>
      <c r="B25" s="20"/>
      <c r="C25" s="20"/>
      <c r="D25" s="20"/>
    </row>
    <row r="26" spans="1:81" x14ac:dyDescent="0.2">
      <c r="A26" s="21"/>
      <c r="B26" s="20"/>
      <c r="C26" s="20"/>
      <c r="D26" s="20"/>
    </row>
    <row r="27" spans="1:81" ht="15" x14ac:dyDescent="0.25">
      <c r="A27" s="21"/>
      <c r="B27" s="20"/>
      <c r="C27" s="20"/>
      <c r="D27" s="20"/>
      <c r="AD27" s="90"/>
    </row>
    <row r="28" spans="1:81" x14ac:dyDescent="0.2">
      <c r="A28" s="21"/>
      <c r="B28" s="20"/>
      <c r="C28" s="20"/>
      <c r="D28" s="20"/>
    </row>
    <row r="29" spans="1:81" ht="15" x14ac:dyDescent="0.25">
      <c r="A29" s="21"/>
      <c r="B29" s="20"/>
      <c r="C29" s="20"/>
      <c r="D29" s="20"/>
      <c r="AD29" s="90"/>
    </row>
    <row r="30" spans="1:81" x14ac:dyDescent="0.2">
      <c r="B30" s="20"/>
      <c r="C30" s="20"/>
    </row>
    <row r="31" spans="1:81" x14ac:dyDescent="0.2">
      <c r="B31" s="20"/>
      <c r="C31" s="20"/>
    </row>
    <row r="32" spans="1:81" x14ac:dyDescent="0.2">
      <c r="B32" s="20"/>
      <c r="C32" s="20"/>
      <c r="D32" s="20"/>
    </row>
  </sheetData>
  <autoFilter ref="A3:I21" xr:uid="{680BB1C7-74AC-4982-AB29-79143161D91E}"/>
  <mergeCells count="3">
    <mergeCell ref="A2:L2"/>
    <mergeCell ref="M2:N2"/>
    <mergeCell ref="AG5:AG21"/>
  </mergeCells>
  <phoneticPr fontId="15" type="noConversion"/>
  <hyperlinks>
    <hyperlink ref="P11" r:id="rId1" xr:uid="{858ED783-A2CC-4F38-974A-C3CF4B731358}"/>
    <hyperlink ref="R11" r:id="rId2" xr:uid="{CC5144BB-645D-424D-88FA-9B5C9F84F92C}"/>
    <hyperlink ref="W11" r:id="rId3" xr:uid="{6DAE846A-4EE9-4B32-845D-1E7CD70633CA}"/>
    <hyperlink ref="AB11" r:id="rId4" xr:uid="{ADD6C19C-573E-415C-9FCF-72F43E5A4982}"/>
    <hyperlink ref="AK11" r:id="rId5" xr:uid="{2B9D00E8-2197-4E8E-9B71-2732D119F61A}"/>
    <hyperlink ref="AE11" r:id="rId6" xr:uid="{A12DAFC4-712B-4157-B7A8-01EA973CB1BB}"/>
    <hyperlink ref="AC11" r:id="rId7" xr:uid="{E8778804-2D0A-448F-97D4-D838F1503652}"/>
    <hyperlink ref="AD11" r:id="rId8" xr:uid="{6371E2C7-6D6C-43EB-8D71-A528FC3AF3C0}"/>
    <hyperlink ref="Z11" r:id="rId9" xr:uid="{B2113DC8-9B1D-4447-BFEC-DE57AE0D3E34}"/>
    <hyperlink ref="X11" r:id="rId10" xr:uid="{C2FD8295-3BBB-4EAD-BB06-DE3617F05E67}"/>
    <hyperlink ref="Y11" r:id="rId11" xr:uid="{AC32E025-11AF-4B0D-A3B6-B1D0C80BE2B0}"/>
    <hyperlink ref="S11" r:id="rId12" xr:uid="{8EC79D8F-0633-49E2-BF4F-588E377B6916}"/>
    <hyperlink ref="T11" r:id="rId13" xr:uid="{C1D0622C-2A6E-4F35-AE25-4B2A2E14D971}"/>
    <hyperlink ref="AN11" r:id="rId14" xr:uid="{92B7BF12-7161-4106-B474-8B93F2A52465}"/>
    <hyperlink ref="AO11" r:id="rId15" xr:uid="{B254636B-C428-46E8-BD52-88DFBF534BE9}"/>
    <hyperlink ref="AP11" r:id="rId16" xr:uid="{32D5EE09-BEAC-499F-BF70-8C9E09EC29BB}"/>
    <hyperlink ref="AS11" r:id="rId17" xr:uid="{D0637448-37BC-48A7-A962-E6938AF72F2D}"/>
    <hyperlink ref="AT11" r:id="rId18" xr:uid="{F2337ECF-C0B0-480B-B4F9-2D3685BBDAFF}"/>
    <hyperlink ref="AU11" r:id="rId19" xr:uid="{E2944BEE-9818-40CF-92AF-0C2DBC658E5A}"/>
    <hyperlink ref="AY11" r:id="rId20" xr:uid="{26B6E6D1-B1AD-498F-A4A6-A2F8A33FAF3C}"/>
    <hyperlink ref="AZ11" r:id="rId21" xr:uid="{3BB6D1DA-C016-4C1E-A51B-15F262CB0955}"/>
    <hyperlink ref="BD11" r:id="rId22" xr:uid="{324CF742-1DA0-4798-AF94-069B7B144FC7}"/>
    <hyperlink ref="BE11" r:id="rId23" xr:uid="{4B134503-31DF-4C33-AA79-F6B6EB530D61}"/>
    <hyperlink ref="BF11" r:id="rId24" xr:uid="{8723E12A-F1F0-43D4-8631-0F413F99DB19}"/>
    <hyperlink ref="BI11" r:id="rId25" xr:uid="{512ADE1B-687E-4535-A3AE-B1559766C273}"/>
    <hyperlink ref="BJ11" r:id="rId26" xr:uid="{E52810E4-8007-4375-8649-8E3D611C6A8D}"/>
    <hyperlink ref="BL11" r:id="rId27" xr:uid="{CB38E996-EAC1-4758-964C-CF6C3DD894B2}"/>
    <hyperlink ref="BM11" r:id="rId28" xr:uid="{FA369E4D-AE7F-4E50-8674-9E3450E61677}"/>
    <hyperlink ref="BN11" r:id="rId29" xr:uid="{76371C33-AE2D-4969-B6C8-577DB0715C7F}"/>
    <hyperlink ref="BQ11" r:id="rId30" xr:uid="{62757FD9-81A9-4533-86BF-55447B68A3AF}"/>
    <hyperlink ref="BS11" r:id="rId31" xr:uid="{B68D1DF4-51AC-43A1-A244-36F550EDC8F8}"/>
    <hyperlink ref="BZ11" r:id="rId32" xr:uid="{A92CB054-4530-4E8F-B517-92A0752F8096}"/>
    <hyperlink ref="CA11" r:id="rId33" xr:uid="{28A3B69D-94EB-452F-9F75-329731878B82}"/>
    <hyperlink ref="CB11" r:id="rId34" xr:uid="{B012135F-18DD-449F-BB01-C21D7CE2D4D3}"/>
    <hyperlink ref="CC11" r:id="rId35" xr:uid="{0C8E5C35-7212-4004-8432-3AAE7D9499F1}"/>
    <hyperlink ref="BX11" r:id="rId36" xr:uid="{CB60BFA0-6072-440E-9040-3598751E7210}"/>
    <hyperlink ref="BO11" r:id="rId37" xr:uid="{4A04BCCE-6C18-4808-8CDE-428012962A52}"/>
    <hyperlink ref="BT11" r:id="rId38" xr:uid="{074B88C4-C326-497D-82F6-FD2CD82B2C85}"/>
    <hyperlink ref="M11" r:id="rId39" display="https://nexus-dflash.internal.draexlmaier.com/repository/dflash-hosted/SW_Container/3-03898_BMW_GEN6_Ladedose_und_Ladepfad/P_2226_NACS/IC301_V/05.03.51/IC301_V-05.03.51.zip" xr:uid="{03580025-E92C-4EFB-A33E-4545AAB52321}"/>
    <hyperlink ref="BU11" r:id="rId40" xr:uid="{5AE4015F-4401-4877-8A28-AD72FCD25284}"/>
    <hyperlink ref="U11" r:id="rId41" xr:uid="{9F9422E7-1509-44FF-A3BF-FFD4681B9E5B}"/>
    <hyperlink ref="BA11" r:id="rId42" xr:uid="{76DCA347-6FF4-4A61-8E1F-5309B26352FE}"/>
  </hyperlinks>
  <pageMargins left="1.0236220472440944" right="1.0236220472440944" top="1.0236220472440944" bottom="1.0236220472440944" header="0.27559055118110237" footer="0.27559055118110237"/>
  <pageSetup paperSize="9" scale="10" orientation="portrait" verticalDpi="1200" r:id="rId43"/>
  <headerFooter alignWithMargins="0">
    <oddFooter>&amp;L&amp;1#&amp;"Arial"&amp;7&amp;K808080Internal: All rights reserved. Distribution within the company, customer and partners</oddFooter>
  </headerFooter>
  <legacyDrawing r:id="rId44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74C286-EB38-40A3-80C2-CACA95BF11B3}">
          <x14:formula1>
            <xm:f>'Predefined values'!$B$4:$B$6</xm:f>
          </x14:formula1>
          <xm:sqref>J16 J5:J14</xm:sqref>
        </x14:dataValidation>
        <x14:dataValidation type="list" allowBlank="1" showInputMessage="1" showErrorMessage="1" xr:uid="{1417ED3C-04BD-4411-AD3B-6F5A8C754AEF}">
          <x14:formula1>
            <xm:f>'Predefined values'!$B$11:$B$13</xm:f>
          </x14:formula1>
          <xm:sqref>H5:H10 G10:G13</xm:sqref>
        </x14:dataValidation>
        <x14:dataValidation type="list" allowBlank="1" showInputMessage="1" showErrorMessage="1" xr:uid="{A26A18DD-41DE-42E5-B922-E1202467806C}">
          <x14:formula1>
            <xm:f>'Predefined values'!$B$8:$B$9</xm:f>
          </x14:formula1>
          <xm:sqref>E5:E13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3561E-E16D-4D1E-A7EE-881DCAC56995}">
  <dimension ref="A1:S9"/>
  <sheetViews>
    <sheetView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K19" sqref="K19"/>
    </sheetView>
  </sheetViews>
  <sheetFormatPr baseColWidth="10" defaultRowHeight="15" x14ac:dyDescent="0.25"/>
  <cols>
    <col min="1" max="1" width="16.85546875" bestFit="1" customWidth="1"/>
    <col min="2" max="2" width="9.5703125" customWidth="1"/>
    <col min="3" max="3" width="19" style="53" customWidth="1"/>
    <col min="4" max="4" width="17.140625" style="53" customWidth="1"/>
    <col min="5" max="5" width="10.5703125" style="53" customWidth="1"/>
    <col min="6" max="6" width="15.5703125" style="53" customWidth="1"/>
    <col min="7" max="7" width="16.7109375" style="53" customWidth="1"/>
    <col min="8" max="8" width="16.5703125" style="53" customWidth="1"/>
    <col min="9" max="9" width="37.5703125" style="53" customWidth="1"/>
    <col min="10" max="10" width="17.28515625" style="53" customWidth="1"/>
    <col min="11" max="11" width="33.7109375" style="53" customWidth="1"/>
    <col min="12" max="15" width="16.5703125" style="53" customWidth="1"/>
    <col min="16" max="19" width="14.42578125" style="53" customWidth="1"/>
  </cols>
  <sheetData>
    <row r="1" spans="1:19" ht="26.25" x14ac:dyDescent="0.4">
      <c r="A1" s="78" t="s">
        <v>196</v>
      </c>
      <c r="B1" s="79" t="s">
        <v>190</v>
      </c>
      <c r="C1" s="80">
        <v>45707</v>
      </c>
    </row>
    <row r="3" spans="1:19" ht="40.5" customHeight="1" x14ac:dyDescent="0.25">
      <c r="A3" s="29" t="s">
        <v>146</v>
      </c>
      <c r="B3" s="55" t="s">
        <v>145</v>
      </c>
      <c r="C3" s="54" t="str">
        <f>Template!B5</f>
        <v>BMW part number (Customer part number)</v>
      </c>
      <c r="D3" s="54" t="str">
        <f>Template!B6</f>
        <v>BMW change index (Customer change index)</v>
      </c>
      <c r="E3" s="54" t="str">
        <f>Template!B7</f>
        <v>BMW hardware variant</v>
      </c>
      <c r="F3" s="54" t="str">
        <f>Template!B8</f>
        <v>BMW SGBM-ID HWEL</v>
      </c>
      <c r="G3" s="54" t="str">
        <f>Template!B9</f>
        <v>BMW HWEL Version</v>
      </c>
      <c r="H3" s="54" t="str">
        <f>Template!B10</f>
        <v>Hardware Identifier PCB Version</v>
      </c>
      <c r="I3" s="54" t="str">
        <f>Template!B11</f>
        <v>Software container - artefact ID</v>
      </c>
      <c r="J3" s="54" t="str">
        <f>Template!B12</f>
        <v>Software container - version</v>
      </c>
      <c r="K3" s="54" t="str">
        <f>Template!B13</f>
        <v>Software container - checksum</v>
      </c>
      <c r="L3" s="54" t="str">
        <f>Template!B14</f>
        <v xml:space="preserve"> BMW BTLD SGBM-ID</v>
      </c>
      <c r="M3" s="54" t="str">
        <f>Template!B15</f>
        <v xml:space="preserve"> BMW BTLD Version</v>
      </c>
      <c r="N3" s="54" t="str">
        <f>Template!B16</f>
        <v xml:space="preserve"> BMW SWFL SGBM-ID</v>
      </c>
      <c r="O3" s="54" t="str">
        <f>Template!B17</f>
        <v xml:space="preserve"> BMW SWFL Version</v>
      </c>
      <c r="P3" s="50" t="str">
        <f>Template!B18</f>
        <v>DRX Bootloader version</v>
      </c>
      <c r="Q3" s="50" t="str">
        <f>Template!B19</f>
        <v>DRX Application version</v>
      </c>
      <c r="R3" s="50" t="str">
        <f>Template!B20</f>
        <v>DRX DUT version</v>
      </c>
      <c r="S3" s="50" t="str">
        <f>Template!B21</f>
        <v>DRX Melexis version</v>
      </c>
    </row>
    <row r="4" spans="1:19" ht="20.100000000000001" customHeight="1" x14ac:dyDescent="0.25">
      <c r="A4" s="62" t="s">
        <v>144</v>
      </c>
      <c r="B4" s="63"/>
      <c r="C4" s="61" t="s">
        <v>97</v>
      </c>
      <c r="D4" s="64" t="s">
        <v>36</v>
      </c>
      <c r="E4" s="61">
        <v>1</v>
      </c>
      <c r="F4" s="61" t="s">
        <v>121</v>
      </c>
      <c r="G4" s="61" t="s">
        <v>120</v>
      </c>
      <c r="H4" s="64" t="s">
        <v>117</v>
      </c>
      <c r="I4" s="77" t="s">
        <v>106</v>
      </c>
      <c r="J4" s="61" t="s">
        <v>163</v>
      </c>
      <c r="K4" s="60" t="s">
        <v>108</v>
      </c>
      <c r="L4" s="61"/>
      <c r="M4" s="61"/>
      <c r="N4" s="61"/>
      <c r="O4" s="61"/>
      <c r="P4" s="61"/>
      <c r="Q4" s="61"/>
      <c r="R4" s="61"/>
      <c r="S4" s="61"/>
    </row>
    <row r="5" spans="1:19" ht="20.100000000000001" customHeight="1" x14ac:dyDescent="0.25">
      <c r="A5" s="75" t="s">
        <v>131</v>
      </c>
      <c r="B5" s="76" t="s">
        <v>132</v>
      </c>
      <c r="C5" s="23" t="s">
        <v>133</v>
      </c>
      <c r="D5" s="23" t="s">
        <v>36</v>
      </c>
      <c r="E5" s="23">
        <v>7</v>
      </c>
      <c r="F5" s="65" t="s">
        <v>134</v>
      </c>
      <c r="G5" s="69" t="s">
        <v>135</v>
      </c>
      <c r="H5" s="67" t="s">
        <v>201</v>
      </c>
      <c r="I5" s="66" t="s">
        <v>150</v>
      </c>
      <c r="J5" s="82" t="s">
        <v>202</v>
      </c>
      <c r="K5" s="66" t="s">
        <v>150</v>
      </c>
      <c r="L5" s="65" t="s">
        <v>195</v>
      </c>
      <c r="M5" s="67" t="s">
        <v>200</v>
      </c>
      <c r="N5" s="65" t="s">
        <v>199</v>
      </c>
      <c r="O5" s="67" t="s">
        <v>200</v>
      </c>
      <c r="P5" s="81" t="s">
        <v>203</v>
      </c>
      <c r="Q5" s="81" t="s">
        <v>202</v>
      </c>
      <c r="R5" s="81" t="s">
        <v>204</v>
      </c>
      <c r="S5" s="68"/>
    </row>
    <row r="6" spans="1:19" ht="20.100000000000001" customHeight="1" x14ac:dyDescent="0.25">
      <c r="A6" s="75" t="s">
        <v>131</v>
      </c>
      <c r="B6" s="76" t="s">
        <v>194</v>
      </c>
      <c r="C6" s="23" t="s">
        <v>197</v>
      </c>
      <c r="D6" s="23" t="s">
        <v>36</v>
      </c>
      <c r="E6" s="23">
        <v>7</v>
      </c>
      <c r="F6" s="65" t="s">
        <v>134</v>
      </c>
      <c r="G6" s="69" t="s">
        <v>198</v>
      </c>
      <c r="H6" s="67" t="s">
        <v>201</v>
      </c>
      <c r="I6" s="66" t="s">
        <v>150</v>
      </c>
      <c r="J6" s="82" t="s">
        <v>202</v>
      </c>
      <c r="K6" s="66" t="s">
        <v>150</v>
      </c>
      <c r="L6" s="65" t="s">
        <v>195</v>
      </c>
      <c r="M6" s="67" t="s">
        <v>200</v>
      </c>
      <c r="N6" s="65" t="s">
        <v>199</v>
      </c>
      <c r="O6" s="67" t="s">
        <v>200</v>
      </c>
      <c r="P6" s="81" t="s">
        <v>203</v>
      </c>
      <c r="Q6" s="81" t="s">
        <v>202</v>
      </c>
      <c r="R6" s="81" t="s">
        <v>204</v>
      </c>
      <c r="S6" s="68"/>
    </row>
    <row r="7" spans="1:19" ht="20.100000000000001" customHeight="1" x14ac:dyDescent="0.25"/>
    <row r="8" spans="1:19" ht="20.100000000000001" customHeight="1" x14ac:dyDescent="0.25">
      <c r="H8" s="58"/>
    </row>
    <row r="9" spans="1:19" ht="20.100000000000001" customHeight="1" x14ac:dyDescent="0.25"/>
  </sheetData>
  <phoneticPr fontId="15" type="noConversion"/>
  <hyperlinks>
    <hyperlink ref="I4" r:id="rId1" xr:uid="{5594BCDE-938E-4869-A3FF-A154E905049A}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FD82-7683-44D1-813A-C0611B197042}">
  <dimension ref="A1:S17"/>
  <sheetViews>
    <sheetView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S5" sqref="S5:S14"/>
    </sheetView>
  </sheetViews>
  <sheetFormatPr baseColWidth="10" defaultRowHeight="15" x14ac:dyDescent="0.25"/>
  <cols>
    <col min="1" max="1" width="16.85546875" bestFit="1" customWidth="1"/>
    <col min="2" max="2" width="9.5703125" customWidth="1"/>
    <col min="3" max="3" width="19" style="53" customWidth="1"/>
    <col min="4" max="4" width="17.140625" style="53" customWidth="1"/>
    <col min="5" max="5" width="10.5703125" style="53" customWidth="1"/>
    <col min="6" max="6" width="15.5703125" style="53" customWidth="1"/>
    <col min="7" max="7" width="16.7109375" style="53" customWidth="1"/>
    <col min="8" max="8" width="16.5703125" style="53" customWidth="1"/>
    <col min="9" max="9" width="37.5703125" style="53" customWidth="1"/>
    <col min="10" max="10" width="17.28515625" style="53" customWidth="1"/>
    <col min="11" max="11" width="33.7109375" style="53" customWidth="1"/>
    <col min="12" max="15" width="16.5703125" style="53" customWidth="1"/>
    <col min="16" max="19" width="14.42578125" style="53" customWidth="1"/>
  </cols>
  <sheetData>
    <row r="1" spans="1:19" ht="26.25" x14ac:dyDescent="0.4">
      <c r="A1" s="78" t="s">
        <v>175</v>
      </c>
      <c r="B1" s="79" t="s">
        <v>190</v>
      </c>
      <c r="C1" s="80">
        <v>45707</v>
      </c>
    </row>
    <row r="3" spans="1:19" ht="40.5" customHeight="1" x14ac:dyDescent="0.25">
      <c r="A3" s="29" t="s">
        <v>146</v>
      </c>
      <c r="B3" s="55" t="s">
        <v>145</v>
      </c>
      <c r="C3" s="54" t="str">
        <f>Template!B5</f>
        <v>BMW part number (Customer part number)</v>
      </c>
      <c r="D3" s="54" t="str">
        <f>Template!B6</f>
        <v>BMW change index (Customer change index)</v>
      </c>
      <c r="E3" s="54" t="str">
        <f>Template!B7</f>
        <v>BMW hardware variant</v>
      </c>
      <c r="F3" s="54" t="str">
        <f>Template!B8</f>
        <v>BMW SGBM-ID HWEL</v>
      </c>
      <c r="G3" s="54" t="str">
        <f>Template!B9</f>
        <v>BMW HWEL Version</v>
      </c>
      <c r="H3" s="54" t="str">
        <f>Template!B10</f>
        <v>Hardware Identifier PCB Version</v>
      </c>
      <c r="I3" s="54" t="str">
        <f>Template!B11</f>
        <v>Software container - artefact ID</v>
      </c>
      <c r="J3" s="54" t="str">
        <f>Template!B12</f>
        <v>Software container - version</v>
      </c>
      <c r="K3" s="54" t="str">
        <f>Template!B13</f>
        <v>Software container - checksum</v>
      </c>
      <c r="L3" s="54" t="str">
        <f>Template!B14</f>
        <v xml:space="preserve"> BMW BTLD SGBM-ID</v>
      </c>
      <c r="M3" s="54" t="str">
        <f>Template!B15</f>
        <v xml:space="preserve"> BMW BTLD Version</v>
      </c>
      <c r="N3" s="54" t="str">
        <f>Template!B16</f>
        <v xml:space="preserve"> BMW SWFL SGBM-ID</v>
      </c>
      <c r="O3" s="54" t="str">
        <f>Template!B17</f>
        <v xml:space="preserve"> BMW SWFL Version</v>
      </c>
      <c r="P3" s="50" t="str">
        <f>Template!B18</f>
        <v>DRX Bootloader version</v>
      </c>
      <c r="Q3" s="50" t="str">
        <f>Template!B19</f>
        <v>DRX Application version</v>
      </c>
      <c r="R3" s="50" t="str">
        <f>Template!B20</f>
        <v>DRX DUT version</v>
      </c>
      <c r="S3" s="50" t="str">
        <f>Template!B21</f>
        <v>DRX Melexis version</v>
      </c>
    </row>
    <row r="4" spans="1:19" ht="20.100000000000001" customHeight="1" x14ac:dyDescent="0.25">
      <c r="A4" s="62" t="s">
        <v>144</v>
      </c>
      <c r="B4" s="63"/>
      <c r="C4" s="61" t="s">
        <v>97</v>
      </c>
      <c r="D4" s="64" t="s">
        <v>36</v>
      </c>
      <c r="E4" s="61">
        <v>1</v>
      </c>
      <c r="F4" s="61" t="s">
        <v>121</v>
      </c>
      <c r="G4" s="61" t="s">
        <v>120</v>
      </c>
      <c r="H4" s="64" t="s">
        <v>117</v>
      </c>
      <c r="I4" s="77" t="s">
        <v>106</v>
      </c>
      <c r="J4" s="64" t="s">
        <v>114</v>
      </c>
      <c r="K4" s="60" t="s">
        <v>108</v>
      </c>
      <c r="L4" s="61"/>
      <c r="M4" s="61"/>
      <c r="N4" s="61"/>
      <c r="O4" s="61"/>
      <c r="P4" s="61"/>
      <c r="Q4" s="61"/>
      <c r="R4" s="61"/>
      <c r="S4" s="61"/>
    </row>
    <row r="5" spans="1:19" ht="20.100000000000001" customHeight="1" x14ac:dyDescent="0.25">
      <c r="A5" s="75" t="s">
        <v>127</v>
      </c>
      <c r="B5" s="76" t="s">
        <v>128</v>
      </c>
      <c r="C5" s="23" t="s">
        <v>129</v>
      </c>
      <c r="D5" s="23" t="s">
        <v>36</v>
      </c>
      <c r="E5" s="23">
        <v>1</v>
      </c>
      <c r="F5" s="65" t="s">
        <v>121</v>
      </c>
      <c r="G5" s="22" t="s">
        <v>149</v>
      </c>
      <c r="H5" s="22" t="s">
        <v>117</v>
      </c>
      <c r="I5" s="66" t="s">
        <v>150</v>
      </c>
      <c r="J5" s="22" t="s">
        <v>114</v>
      </c>
      <c r="K5" s="68" t="s">
        <v>150</v>
      </c>
      <c r="L5" s="65" t="s">
        <v>157</v>
      </c>
      <c r="M5" s="67" t="s">
        <v>159</v>
      </c>
      <c r="N5" s="65" t="s">
        <v>158</v>
      </c>
      <c r="O5" s="67" t="s">
        <v>159</v>
      </c>
      <c r="P5" s="69" t="s">
        <v>161</v>
      </c>
      <c r="Q5" s="69" t="s">
        <v>160</v>
      </c>
      <c r="R5" s="67" t="s">
        <v>164</v>
      </c>
      <c r="S5" s="69" t="s">
        <v>142</v>
      </c>
    </row>
    <row r="6" spans="1:19" ht="20.100000000000001" customHeight="1" x14ac:dyDescent="0.25">
      <c r="A6" s="75" t="s">
        <v>177</v>
      </c>
      <c r="B6" s="76" t="s">
        <v>125</v>
      </c>
      <c r="C6" s="23" t="s">
        <v>176</v>
      </c>
      <c r="D6" s="23" t="s">
        <v>36</v>
      </c>
      <c r="E6" s="23">
        <v>1</v>
      </c>
      <c r="F6" s="65" t="s">
        <v>180</v>
      </c>
      <c r="G6" s="22" t="s">
        <v>149</v>
      </c>
      <c r="H6" s="22" t="s">
        <v>117</v>
      </c>
      <c r="I6" s="66" t="s">
        <v>150</v>
      </c>
      <c r="J6" s="22" t="s">
        <v>114</v>
      </c>
      <c r="K6" s="68" t="s">
        <v>150</v>
      </c>
      <c r="L6" s="65" t="s">
        <v>157</v>
      </c>
      <c r="M6" s="67" t="s">
        <v>159</v>
      </c>
      <c r="N6" s="65" t="s">
        <v>158</v>
      </c>
      <c r="O6" s="67" t="s">
        <v>159</v>
      </c>
      <c r="P6" s="69" t="s">
        <v>161</v>
      </c>
      <c r="Q6" s="69" t="s">
        <v>160</v>
      </c>
      <c r="R6" s="67" t="s">
        <v>164</v>
      </c>
      <c r="S6" s="69" t="s">
        <v>142</v>
      </c>
    </row>
    <row r="7" spans="1:19" ht="20.100000000000001" customHeight="1" x14ac:dyDescent="0.25">
      <c r="A7" s="75" t="s">
        <v>178</v>
      </c>
      <c r="B7" s="76" t="s">
        <v>125</v>
      </c>
      <c r="C7" s="23" t="s">
        <v>179</v>
      </c>
      <c r="D7" s="23" t="s">
        <v>36</v>
      </c>
      <c r="E7" s="23">
        <v>1</v>
      </c>
      <c r="F7" s="65" t="s">
        <v>180</v>
      </c>
      <c r="G7" s="22" t="s">
        <v>149</v>
      </c>
      <c r="H7" s="22" t="s">
        <v>117</v>
      </c>
      <c r="I7" s="66" t="s">
        <v>150</v>
      </c>
      <c r="J7" s="22" t="s">
        <v>114</v>
      </c>
      <c r="K7" s="68" t="s">
        <v>150</v>
      </c>
      <c r="L7" s="65" t="s">
        <v>157</v>
      </c>
      <c r="M7" s="67" t="s">
        <v>159</v>
      </c>
      <c r="N7" s="65" t="s">
        <v>158</v>
      </c>
      <c r="O7" s="67" t="s">
        <v>159</v>
      </c>
      <c r="P7" s="69" t="s">
        <v>161</v>
      </c>
      <c r="Q7" s="69" t="s">
        <v>160</v>
      </c>
      <c r="R7" s="67" t="s">
        <v>164</v>
      </c>
      <c r="S7" s="69" t="s">
        <v>142</v>
      </c>
    </row>
    <row r="8" spans="1:19" ht="20.100000000000001" customHeight="1" x14ac:dyDescent="0.25">
      <c r="A8" s="75" t="s">
        <v>124</v>
      </c>
      <c r="B8" s="76" t="s">
        <v>125</v>
      </c>
      <c r="C8" s="23" t="s">
        <v>126</v>
      </c>
      <c r="D8" s="23" t="s">
        <v>36</v>
      </c>
      <c r="E8" s="23">
        <v>2</v>
      </c>
      <c r="F8" s="23" t="s">
        <v>154</v>
      </c>
      <c r="G8" s="22" t="s">
        <v>149</v>
      </c>
      <c r="H8" s="22" t="s">
        <v>117</v>
      </c>
      <c r="I8" s="66" t="s">
        <v>150</v>
      </c>
      <c r="J8" s="22" t="s">
        <v>114</v>
      </c>
      <c r="K8" s="66" t="s">
        <v>150</v>
      </c>
      <c r="L8" s="65" t="s">
        <v>157</v>
      </c>
      <c r="M8" s="67" t="s">
        <v>159</v>
      </c>
      <c r="N8" s="65" t="s">
        <v>158</v>
      </c>
      <c r="O8" s="67" t="s">
        <v>159</v>
      </c>
      <c r="P8" s="69" t="s">
        <v>161</v>
      </c>
      <c r="Q8" s="69" t="s">
        <v>160</v>
      </c>
      <c r="R8" s="67" t="s">
        <v>164</v>
      </c>
      <c r="S8" s="69" t="s">
        <v>142</v>
      </c>
    </row>
    <row r="9" spans="1:19" ht="20.100000000000001" customHeight="1" x14ac:dyDescent="0.25">
      <c r="A9" s="75" t="s">
        <v>181</v>
      </c>
      <c r="B9" s="76" t="s">
        <v>183</v>
      </c>
      <c r="C9" s="23" t="s">
        <v>184</v>
      </c>
      <c r="D9" s="23" t="s">
        <v>36</v>
      </c>
      <c r="E9" s="23">
        <v>2</v>
      </c>
      <c r="F9" s="23" t="s">
        <v>186</v>
      </c>
      <c r="G9" s="22" t="s">
        <v>149</v>
      </c>
      <c r="H9" s="22" t="s">
        <v>117</v>
      </c>
      <c r="I9" s="66" t="s">
        <v>150</v>
      </c>
      <c r="J9" s="22" t="s">
        <v>114</v>
      </c>
      <c r="K9" s="66" t="s">
        <v>150</v>
      </c>
      <c r="L9" s="65" t="s">
        <v>157</v>
      </c>
      <c r="M9" s="67" t="s">
        <v>159</v>
      </c>
      <c r="N9" s="65" t="s">
        <v>158</v>
      </c>
      <c r="O9" s="67" t="s">
        <v>159</v>
      </c>
      <c r="P9" s="69" t="s">
        <v>161</v>
      </c>
      <c r="Q9" s="69" t="s">
        <v>160</v>
      </c>
      <c r="R9" s="67" t="s">
        <v>164</v>
      </c>
      <c r="S9" s="69" t="s">
        <v>142</v>
      </c>
    </row>
    <row r="10" spans="1:19" ht="20.100000000000001" customHeight="1" x14ac:dyDescent="0.25">
      <c r="A10" s="75" t="s">
        <v>182</v>
      </c>
      <c r="B10" s="76" t="s">
        <v>183</v>
      </c>
      <c r="C10" s="23" t="s">
        <v>185</v>
      </c>
      <c r="D10" s="23" t="s">
        <v>36</v>
      </c>
      <c r="E10" s="23">
        <v>2</v>
      </c>
      <c r="F10" s="23" t="s">
        <v>186</v>
      </c>
      <c r="G10" s="22" t="s">
        <v>149</v>
      </c>
      <c r="H10" s="22" t="s">
        <v>117</v>
      </c>
      <c r="I10" s="66" t="s">
        <v>150</v>
      </c>
      <c r="J10" s="22" t="s">
        <v>114</v>
      </c>
      <c r="K10" s="66" t="s">
        <v>150</v>
      </c>
      <c r="L10" s="65" t="s">
        <v>157</v>
      </c>
      <c r="M10" s="67" t="s">
        <v>159</v>
      </c>
      <c r="N10" s="65" t="s">
        <v>158</v>
      </c>
      <c r="O10" s="67" t="s">
        <v>159</v>
      </c>
      <c r="P10" s="69" t="s">
        <v>161</v>
      </c>
      <c r="Q10" s="69" t="s">
        <v>160</v>
      </c>
      <c r="R10" s="67" t="s">
        <v>164</v>
      </c>
      <c r="S10" s="69" t="s">
        <v>142</v>
      </c>
    </row>
    <row r="11" spans="1:19" ht="20.100000000000001" customHeight="1" x14ac:dyDescent="0.25">
      <c r="A11" s="75" t="s">
        <v>147</v>
      </c>
      <c r="B11" s="76" t="s">
        <v>128</v>
      </c>
      <c r="C11" s="23" t="s">
        <v>136</v>
      </c>
      <c r="D11" s="23" t="s">
        <v>36</v>
      </c>
      <c r="E11" s="23">
        <v>3</v>
      </c>
      <c r="F11" s="65" t="s">
        <v>130</v>
      </c>
      <c r="G11" s="69" t="s">
        <v>149</v>
      </c>
      <c r="H11" s="69" t="s">
        <v>188</v>
      </c>
      <c r="I11" s="66" t="s">
        <v>150</v>
      </c>
      <c r="J11" s="22" t="s">
        <v>114</v>
      </c>
      <c r="K11" s="66" t="s">
        <v>150</v>
      </c>
      <c r="L11" s="65" t="s">
        <v>157</v>
      </c>
      <c r="M11" s="67" t="s">
        <v>159</v>
      </c>
      <c r="N11" s="65" t="s">
        <v>158</v>
      </c>
      <c r="O11" s="67" t="s">
        <v>159</v>
      </c>
      <c r="P11" s="69" t="s">
        <v>161</v>
      </c>
      <c r="Q11" s="69" t="s">
        <v>160</v>
      </c>
      <c r="R11" s="67" t="s">
        <v>164</v>
      </c>
      <c r="S11" s="69" t="s">
        <v>142</v>
      </c>
    </row>
    <row r="12" spans="1:19" ht="20.100000000000001" customHeight="1" x14ac:dyDescent="0.25">
      <c r="A12" s="75" t="s">
        <v>187</v>
      </c>
      <c r="B12" s="76" t="s">
        <v>125</v>
      </c>
      <c r="C12" s="23" t="s">
        <v>189</v>
      </c>
      <c r="D12" s="23" t="s">
        <v>36</v>
      </c>
      <c r="E12" s="23">
        <v>3</v>
      </c>
      <c r="F12" s="65" t="s">
        <v>130</v>
      </c>
      <c r="G12" s="69" t="s">
        <v>149</v>
      </c>
      <c r="H12" s="69" t="s">
        <v>188</v>
      </c>
      <c r="I12" s="66" t="s">
        <v>150</v>
      </c>
      <c r="J12" s="22" t="s">
        <v>114</v>
      </c>
      <c r="K12" s="66" t="s">
        <v>150</v>
      </c>
      <c r="L12" s="65" t="s">
        <v>157</v>
      </c>
      <c r="M12" s="67" t="s">
        <v>159</v>
      </c>
      <c r="N12" s="65" t="s">
        <v>158</v>
      </c>
      <c r="O12" s="67" t="s">
        <v>159</v>
      </c>
      <c r="P12" s="69" t="s">
        <v>161</v>
      </c>
      <c r="Q12" s="69" t="s">
        <v>160</v>
      </c>
      <c r="R12" s="67" t="s">
        <v>164</v>
      </c>
      <c r="S12" s="69" t="s">
        <v>142</v>
      </c>
    </row>
    <row r="13" spans="1:19" ht="20.100000000000001" customHeight="1" x14ac:dyDescent="0.25">
      <c r="A13" s="75" t="s">
        <v>148</v>
      </c>
      <c r="B13" s="76" t="s">
        <v>128</v>
      </c>
      <c r="C13" s="23" t="s">
        <v>137</v>
      </c>
      <c r="D13" s="23" t="s">
        <v>36</v>
      </c>
      <c r="E13" s="23">
        <v>5</v>
      </c>
      <c r="F13" s="65" t="s">
        <v>138</v>
      </c>
      <c r="G13" s="69" t="s">
        <v>149</v>
      </c>
      <c r="H13" s="69" t="s">
        <v>191</v>
      </c>
      <c r="I13" s="66" t="s">
        <v>150</v>
      </c>
      <c r="J13" s="22" t="s">
        <v>114</v>
      </c>
      <c r="K13" s="66" t="s">
        <v>150</v>
      </c>
      <c r="L13" s="65" t="s">
        <v>157</v>
      </c>
      <c r="M13" s="67" t="s">
        <v>159</v>
      </c>
      <c r="N13" s="65" t="s">
        <v>158</v>
      </c>
      <c r="O13" s="67" t="s">
        <v>159</v>
      </c>
      <c r="P13" s="69" t="s">
        <v>161</v>
      </c>
      <c r="Q13" s="69" t="s">
        <v>160</v>
      </c>
      <c r="R13" s="67" t="s">
        <v>164</v>
      </c>
      <c r="S13" s="69" t="s">
        <v>142</v>
      </c>
    </row>
    <row r="14" spans="1:19" ht="20.100000000000001" customHeight="1" x14ac:dyDescent="0.25">
      <c r="A14" s="75" t="s">
        <v>192</v>
      </c>
      <c r="B14" s="76" t="s">
        <v>125</v>
      </c>
      <c r="C14" s="23" t="s">
        <v>193</v>
      </c>
      <c r="D14" s="23" t="s">
        <v>36</v>
      </c>
      <c r="E14" s="23">
        <v>5</v>
      </c>
      <c r="F14" s="65" t="s">
        <v>138</v>
      </c>
      <c r="G14" s="69" t="s">
        <v>149</v>
      </c>
      <c r="H14" s="69" t="s">
        <v>191</v>
      </c>
      <c r="I14" s="66" t="s">
        <v>150</v>
      </c>
      <c r="J14" s="22" t="s">
        <v>114</v>
      </c>
      <c r="K14" s="66" t="s">
        <v>150</v>
      </c>
      <c r="L14" s="65" t="s">
        <v>157</v>
      </c>
      <c r="M14" s="67" t="s">
        <v>159</v>
      </c>
      <c r="N14" s="65" t="s">
        <v>158</v>
      </c>
      <c r="O14" s="67" t="s">
        <v>159</v>
      </c>
      <c r="P14" s="69" t="s">
        <v>161</v>
      </c>
      <c r="Q14" s="69" t="s">
        <v>160</v>
      </c>
      <c r="R14" s="67" t="s">
        <v>164</v>
      </c>
      <c r="S14" s="69" t="s">
        <v>142</v>
      </c>
    </row>
    <row r="15" spans="1:19" ht="20.100000000000001" customHeight="1" x14ac:dyDescent="0.25"/>
    <row r="16" spans="1:19" ht="20.100000000000001" customHeight="1" x14ac:dyDescent="0.25">
      <c r="H16" s="58"/>
    </row>
    <row r="17" ht="20.100000000000001" customHeight="1" x14ac:dyDescent="0.25"/>
  </sheetData>
  <phoneticPr fontId="15" type="noConversion"/>
  <hyperlinks>
    <hyperlink ref="I4" r:id="rId1" xr:uid="{665DD8AE-77A0-45D8-97C5-5A271C7FA15B}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1873-8DB0-44B0-A7FB-8771F2A5DE78}">
  <sheetPr codeName="Tabelle4"/>
  <dimension ref="B2:C13"/>
  <sheetViews>
    <sheetView workbookViewId="0">
      <selection activeCell="C23" sqref="C23"/>
    </sheetView>
  </sheetViews>
  <sheetFormatPr baseColWidth="10" defaultRowHeight="15" x14ac:dyDescent="0.25"/>
  <cols>
    <col min="1" max="1" width="3.7109375" customWidth="1"/>
    <col min="2" max="2" width="10.140625" customWidth="1"/>
    <col min="3" max="3" width="123" customWidth="1"/>
  </cols>
  <sheetData>
    <row r="2" spans="2:3" ht="15.75" thickBot="1" x14ac:dyDescent="0.3">
      <c r="B2" s="15" t="s">
        <v>15</v>
      </c>
      <c r="C2" s="15" t="s">
        <v>16</v>
      </c>
    </row>
    <row r="3" spans="2:3" ht="15" customHeight="1" thickBot="1" x14ac:dyDescent="0.3">
      <c r="B3" s="164" t="s">
        <v>68</v>
      </c>
      <c r="C3" s="165"/>
    </row>
    <row r="4" spans="2:3" ht="45" x14ac:dyDescent="0.25">
      <c r="B4" s="17">
        <v>1</v>
      </c>
      <c r="C4" s="18" t="s">
        <v>87</v>
      </c>
    </row>
    <row r="5" spans="2:3" x14ac:dyDescent="0.25">
      <c r="B5" s="16">
        <v>2</v>
      </c>
      <c r="C5" s="19" t="s">
        <v>84</v>
      </c>
    </row>
    <row r="6" spans="2:3" ht="30.75" thickBot="1" x14ac:dyDescent="0.3">
      <c r="B6" s="16">
        <v>3</v>
      </c>
      <c r="C6" s="19" t="s">
        <v>23</v>
      </c>
    </row>
    <row r="7" spans="2:3" ht="15" customHeight="1" thickBot="1" x14ac:dyDescent="0.3">
      <c r="B7" s="164" t="s">
        <v>69</v>
      </c>
      <c r="C7" s="165"/>
    </row>
    <row r="8" spans="2:3" x14ac:dyDescent="0.25">
      <c r="B8" s="16">
        <v>4</v>
      </c>
      <c r="C8" s="19" t="s">
        <v>21</v>
      </c>
    </row>
    <row r="9" spans="2:3" ht="45.75" thickBot="1" x14ac:dyDescent="0.3">
      <c r="B9" s="16">
        <v>5</v>
      </c>
      <c r="C9" s="19" t="s">
        <v>24</v>
      </c>
    </row>
    <row r="10" spans="2:3" ht="15" customHeight="1" thickBot="1" x14ac:dyDescent="0.3">
      <c r="B10" s="164" t="s">
        <v>22</v>
      </c>
      <c r="C10" s="165"/>
    </row>
    <row r="11" spans="2:3" x14ac:dyDescent="0.25">
      <c r="B11" s="16">
        <v>6</v>
      </c>
      <c r="C11" s="19" t="s">
        <v>70</v>
      </c>
    </row>
    <row r="12" spans="2:3" ht="45" x14ac:dyDescent="0.25">
      <c r="B12" s="16">
        <v>7</v>
      </c>
      <c r="C12" s="19" t="s">
        <v>26</v>
      </c>
    </row>
    <row r="13" spans="2:3" ht="30" x14ac:dyDescent="0.25">
      <c r="B13" s="16" t="s">
        <v>17</v>
      </c>
      <c r="C13" s="19" t="s">
        <v>18</v>
      </c>
    </row>
  </sheetData>
  <mergeCells count="3">
    <mergeCell ref="B3:C3"/>
    <mergeCell ref="B7:C7"/>
    <mergeCell ref="B10:C10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5E98-ABE9-4D2D-B1CB-CFA82BD94EDF}">
  <sheetPr codeName="Tabelle3"/>
  <dimension ref="B2:C13"/>
  <sheetViews>
    <sheetView workbookViewId="0">
      <selection activeCell="B8" sqref="B8"/>
    </sheetView>
  </sheetViews>
  <sheetFormatPr baseColWidth="10" defaultRowHeight="15" x14ac:dyDescent="0.25"/>
  <cols>
    <col min="1" max="1" width="3.7109375" customWidth="1"/>
    <col min="2" max="2" width="10.140625" customWidth="1"/>
    <col min="3" max="3" width="123" customWidth="1"/>
  </cols>
  <sheetData>
    <row r="2" spans="2:3" ht="15.75" thickBot="1" x14ac:dyDescent="0.3">
      <c r="B2" s="15" t="s">
        <v>13</v>
      </c>
      <c r="C2" s="15" t="s">
        <v>16</v>
      </c>
    </row>
    <row r="3" spans="2:3" ht="15" customHeight="1" thickBot="1" x14ac:dyDescent="0.3">
      <c r="B3" s="164" t="s">
        <v>77</v>
      </c>
      <c r="C3" s="165"/>
    </row>
    <row r="4" spans="2:3" x14ac:dyDescent="0.25">
      <c r="B4" s="29" t="s">
        <v>78</v>
      </c>
      <c r="C4" s="29" t="s">
        <v>80</v>
      </c>
    </row>
    <row r="5" spans="2:3" x14ac:dyDescent="0.25">
      <c r="B5" s="29" t="s">
        <v>79</v>
      </c>
      <c r="C5" s="29" t="s">
        <v>83</v>
      </c>
    </row>
    <row r="6" spans="2:3" ht="15.75" thickBot="1" x14ac:dyDescent="0.3">
      <c r="B6" s="29" t="s">
        <v>81</v>
      </c>
      <c r="C6" s="29" t="s">
        <v>82</v>
      </c>
    </row>
    <row r="7" spans="2:3" ht="15" customHeight="1" thickBot="1" x14ac:dyDescent="0.3">
      <c r="B7" s="164" t="s">
        <v>55</v>
      </c>
      <c r="C7" s="165"/>
    </row>
    <row r="8" spans="2:3" x14ac:dyDescent="0.25">
      <c r="B8" s="29" t="s">
        <v>58</v>
      </c>
      <c r="C8" s="29" t="s">
        <v>60</v>
      </c>
    </row>
    <row r="9" spans="2:3" ht="15.75" thickBot="1" x14ac:dyDescent="0.3">
      <c r="B9" s="29" t="s">
        <v>59</v>
      </c>
      <c r="C9" s="29" t="s">
        <v>61</v>
      </c>
    </row>
    <row r="10" spans="2:3" ht="15.75" thickBot="1" x14ac:dyDescent="0.3">
      <c r="B10" s="164" t="s">
        <v>75</v>
      </c>
      <c r="C10" s="165" t="s">
        <v>31</v>
      </c>
    </row>
    <row r="11" spans="2:3" x14ac:dyDescent="0.25">
      <c r="B11" s="29" t="s">
        <v>27</v>
      </c>
      <c r="C11" s="29" t="s">
        <v>32</v>
      </c>
    </row>
    <row r="12" spans="2:3" x14ac:dyDescent="0.25">
      <c r="B12" s="29" t="s">
        <v>28</v>
      </c>
      <c r="C12" s="29" t="s">
        <v>29</v>
      </c>
    </row>
    <row r="13" spans="2:3" ht="30" x14ac:dyDescent="0.25">
      <c r="B13" s="29" t="s">
        <v>25</v>
      </c>
      <c r="C13" s="30" t="s">
        <v>30</v>
      </c>
    </row>
  </sheetData>
  <mergeCells count="3">
    <mergeCell ref="B3:C3"/>
    <mergeCell ref="B10:C10"/>
    <mergeCell ref="B7:C7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onisStatus xmlns="29bc723e-3aad-498b-bde0-161e9cca0446" xsi:nil="true"/>
    <lcf76f155ced4ddcb4097134ff3c332f xmlns="29bc723e-3aad-498b-bde0-161e9cca0446">
      <Terms xmlns="http://schemas.microsoft.com/office/infopath/2007/PartnerControls"/>
    </lcf76f155ced4ddcb4097134ff3c332f>
    <TaxCatchAll xmlns="cffed0f8-3fe9-4e4f-9bdb-67d97d5de8b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F97DD730850F43BCFD5BCDDE761C08" ma:contentTypeVersion="18" ma:contentTypeDescription="Create a new document." ma:contentTypeScope="" ma:versionID="8e193deb7c44d652becf82420bf98865">
  <xsd:schema xmlns:xsd="http://www.w3.org/2001/XMLSchema" xmlns:xs="http://www.w3.org/2001/XMLSchema" xmlns:p="http://schemas.microsoft.com/office/2006/metadata/properties" xmlns:ns2="29bc723e-3aad-498b-bde0-161e9cca0446" xmlns:ns3="cffed0f8-3fe9-4e4f-9bdb-67d97d5de8ba" targetNamespace="http://schemas.microsoft.com/office/2006/metadata/properties" ma:root="true" ma:fieldsID="00fa4bc4a459bccef5d00862561997ef" ns2:_="" ns3:_="">
    <xsd:import namespace="29bc723e-3aad-498b-bde0-161e9cca0446"/>
    <xsd:import namespace="cffed0f8-3fe9-4e4f-9bdb-67d97d5de8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AutoKeyPoints" minOccurs="0"/>
                <xsd:element ref="ns2:MediaServiceKeyPoints" minOccurs="0"/>
                <xsd:element ref="ns2:AdonisStatus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bc723e-3aad-498b-bde0-161e9cca04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719ce222-a724-4153-a250-9420caf305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AdonisStatus" ma:index="23" nillable="true" ma:displayName="Adonis Status" ma:format="Dropdown" ma:internalName="AdonisStatus">
      <xsd:simpleType>
        <xsd:restriction base="dms:Text">
          <xsd:maxLength value="255"/>
        </xsd:restriction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fed0f8-3fe9-4e4f-9bdb-67d97d5de8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410008b-3ce0-4fd9-a6ad-062f32abe152}" ma:internalName="TaxCatchAll" ma:showField="CatchAllData" ma:web="cffed0f8-3fe9-4e4f-9bdb-67d97d5de8b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094A73-7F3E-48D8-993A-2357C2267FAD}">
  <ds:schemaRefs>
    <ds:schemaRef ds:uri="dc215ba8-5497-416d-b3d2-8e94c705f339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a8d6ae50-086e-4dfd-a974-9861154417cc"/>
    <ds:schemaRef ds:uri="http://www.w3.org/XML/1998/namespace"/>
    <ds:schemaRef ds:uri="29bc723e-3aad-498b-bde0-161e9cca0446"/>
    <ds:schemaRef ds:uri="cffed0f8-3fe9-4e4f-9bdb-67d97d5de8ba"/>
  </ds:schemaRefs>
</ds:datastoreItem>
</file>

<file path=customXml/itemProps2.xml><?xml version="1.0" encoding="utf-8"?>
<ds:datastoreItem xmlns:ds="http://schemas.openxmlformats.org/officeDocument/2006/customXml" ds:itemID="{A5AF5141-47D8-4FF0-BED8-C51F8B7B35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FA61D4-4319-424A-89CF-03650A7DC7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bc723e-3aad-498b-bde0-161e9cca0446"/>
    <ds:schemaRef ds:uri="cffed0f8-3fe9-4e4f-9bdb-67d97d5de8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3d921970-61b0-4443-b2b0-d966ab82c5d1}" enabled="1" method="Standard" siteId="{492ac175-0fcd-4d6c-8fde-e15c70d1986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Overview</vt:lpstr>
      <vt:lpstr>Template</vt:lpstr>
      <vt:lpstr>Release 25-03</vt:lpstr>
      <vt:lpstr>Release 25-07</vt:lpstr>
      <vt:lpstr>Work instruction</vt:lpstr>
      <vt:lpstr>Predefined values</vt:lpstr>
      <vt:lpstr>Overview!Druckbereich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FO_production information file</dc:title>
  <dc:subject/>
  <dc:creator>Triller Thomas IA29</dc:creator>
  <cp:keywords/>
  <dc:description>39;</dc:description>
  <cp:lastModifiedBy>Wagmann Simon OC512</cp:lastModifiedBy>
  <cp:revision/>
  <dcterms:created xsi:type="dcterms:W3CDTF">2019-12-01T23:51:21Z</dcterms:created>
  <dcterms:modified xsi:type="dcterms:W3CDTF">2025-12-02T14:47:18Z</dcterms:modified>
  <cp:category/>
  <cp:contentStatus>58;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p5</vt:lpwstr>
  </property>
  <property fmtid="{D5CDD505-2E9C-101B-9397-08002B2CF9AE}" pid="3" name="ContentTypeId">
    <vt:lpwstr>0x010100BBF97DD730850F43BCFD5BCDDE761C08</vt:lpwstr>
  </property>
  <property fmtid="{D5CDD505-2E9C-101B-9397-08002B2CF9AE}" pid="4" name="CreatedOn">
    <vt:lpwstr>p1</vt:lpwstr>
  </property>
  <property fmtid="{D5CDD505-2E9C-101B-9397-08002B2CF9AE}" pid="5" name="Creator">
    <vt:lpwstr>p2</vt:lpwstr>
  </property>
  <property fmtid="{D5CDD505-2E9C-101B-9397-08002B2CF9AE}" pid="6" name="AreaOfValidity">
    <vt:lpwstr>p3</vt:lpwstr>
  </property>
  <property fmtid="{D5CDD505-2E9C-101B-9397-08002B2CF9AE}" pid="7" name="PreinspectedOn">
    <vt:lpwstr>p4</vt:lpwstr>
  </property>
  <property fmtid="{D5CDD505-2E9C-101B-9397-08002B2CF9AE}" pid="8" name="ApprovedOn">
    <vt:lpwstr>p6</vt:lpwstr>
  </property>
  <property fmtid="{D5CDD505-2E9C-101B-9397-08002B2CF9AE}" pid="9" name="Approver">
    <vt:lpwstr>p7</vt:lpwstr>
  </property>
  <property fmtid="{D5CDD505-2E9C-101B-9397-08002B2CF9AE}" pid="10" name="MainProcess">
    <vt:lpwstr>p8</vt:lpwstr>
  </property>
  <property fmtid="{D5CDD505-2E9C-101B-9397-08002B2CF9AE}" pid="11" name="MSIP_Label_3d921970-61b0-4443-b2b0-d966ab82c5d1_Enabled">
    <vt:lpwstr>true</vt:lpwstr>
  </property>
  <property fmtid="{D5CDD505-2E9C-101B-9397-08002B2CF9AE}" pid="12" name="MSIP_Label_3d921970-61b0-4443-b2b0-d966ab82c5d1_SetDate">
    <vt:lpwstr>2023-06-01T12:02:58Z</vt:lpwstr>
  </property>
  <property fmtid="{D5CDD505-2E9C-101B-9397-08002B2CF9AE}" pid="13" name="MSIP_Label_3d921970-61b0-4443-b2b0-d966ab82c5d1_Method">
    <vt:lpwstr>Standard</vt:lpwstr>
  </property>
  <property fmtid="{D5CDD505-2E9C-101B-9397-08002B2CF9AE}" pid="14" name="MSIP_Label_3d921970-61b0-4443-b2b0-d966ab82c5d1_Name">
    <vt:lpwstr>Internal</vt:lpwstr>
  </property>
  <property fmtid="{D5CDD505-2E9C-101B-9397-08002B2CF9AE}" pid="15" name="MSIP_Label_3d921970-61b0-4443-b2b0-d966ab82c5d1_SiteId">
    <vt:lpwstr>492ac175-0fcd-4d6c-8fde-e15c70d1986b</vt:lpwstr>
  </property>
  <property fmtid="{D5CDD505-2E9C-101B-9397-08002B2CF9AE}" pid="16" name="MSIP_Label_3d921970-61b0-4443-b2b0-d966ab82c5d1_ActionId">
    <vt:lpwstr>3683a8cc-0a01-4e12-8779-8f7caddec6bc</vt:lpwstr>
  </property>
  <property fmtid="{D5CDD505-2E9C-101B-9397-08002B2CF9AE}" pid="17" name="MSIP_Label_3d921970-61b0-4443-b2b0-d966ab82c5d1_ContentBits">
    <vt:lpwstr>2</vt:lpwstr>
  </property>
  <property fmtid="{D5CDD505-2E9C-101B-9397-08002B2CF9AE}" pid="18" name="Classification">
    <vt:lpwstr>Internal</vt:lpwstr>
  </property>
</Properties>
</file>